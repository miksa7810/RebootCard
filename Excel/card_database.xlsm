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915576D6-5C42-4D20-98F0-99D509E2A040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output" sheetId="9" r:id="rId2"/>
    <sheet name="ref" sheetId="8" r:id="rId3"/>
  </sheets>
  <definedNames>
    <definedName name="タイプ">ref!$D$3:$D$12</definedName>
    <definedName name="タイプ詳細">ref!$F$3:$F$22</definedName>
    <definedName name="わざ">ref!$I$3:$I$22</definedName>
    <definedName name="効果">ref!$H$3:$H$22</definedName>
    <definedName name="種族">ref!$M$3:$M$32</definedName>
    <definedName name="条件">ref!$G$3:$G$22</definedName>
    <definedName name="属性">ref!$K$3:$K$22</definedName>
    <definedName name="汎用">ref!$B$3:$B$12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65" i="9" l="1"/>
  <c r="BG64" i="9"/>
  <c r="BG63" i="9"/>
  <c r="BG62" i="9"/>
  <c r="BG61" i="9"/>
  <c r="BG60" i="9"/>
  <c r="BG59" i="9"/>
  <c r="BG58" i="9"/>
  <c r="BG57" i="9"/>
  <c r="BG56" i="9"/>
  <c r="BG55" i="9"/>
  <c r="BG54" i="9"/>
  <c r="BG53" i="9"/>
  <c r="BG52" i="9"/>
  <c r="BG51" i="9"/>
  <c r="BG50" i="9"/>
  <c r="BG49" i="9"/>
  <c r="BG48" i="9"/>
  <c r="BG47" i="9"/>
  <c r="BG46" i="9"/>
  <c r="BG45" i="9"/>
  <c r="BG44" i="9"/>
  <c r="BG43" i="9"/>
  <c r="BG42" i="9"/>
  <c r="BG41" i="9"/>
  <c r="BG40" i="9"/>
  <c r="BG39" i="9"/>
  <c r="BG38" i="9"/>
  <c r="BG37" i="9"/>
  <c r="BG36" i="9"/>
  <c r="BG35" i="9"/>
  <c r="BG34" i="9"/>
  <c r="BG33" i="9"/>
  <c r="BG32" i="9"/>
  <c r="BG31" i="9"/>
  <c r="BG30" i="9"/>
  <c r="BG29" i="9"/>
  <c r="BG28" i="9"/>
  <c r="BG27" i="9"/>
  <c r="BG26" i="9"/>
  <c r="BG25" i="9"/>
  <c r="BG24" i="9"/>
  <c r="BG23" i="9"/>
  <c r="BG22" i="9"/>
  <c r="BG21" i="9"/>
  <c r="BG20" i="9"/>
  <c r="BG19" i="9"/>
  <c r="BG18" i="9"/>
  <c r="BG17" i="9"/>
  <c r="BG16" i="9"/>
  <c r="BG15" i="9"/>
  <c r="BG14" i="9"/>
  <c r="BG13" i="9"/>
  <c r="BG12" i="9"/>
  <c r="BG11" i="9"/>
  <c r="BG10" i="9"/>
  <c r="BG9" i="9"/>
  <c r="BG8" i="9"/>
  <c r="BG7" i="9"/>
  <c r="BG6" i="9"/>
  <c r="BF65" i="9"/>
  <c r="BF64" i="9"/>
  <c r="BF63" i="9"/>
  <c r="BF62" i="9"/>
  <c r="BF61" i="9"/>
  <c r="BF60" i="9"/>
  <c r="BF59" i="9"/>
  <c r="BF58" i="9"/>
  <c r="BF57" i="9"/>
  <c r="BF56" i="9"/>
  <c r="BF55" i="9"/>
  <c r="BF54" i="9"/>
  <c r="BF53" i="9"/>
  <c r="BF52" i="9"/>
  <c r="BF51" i="9"/>
  <c r="BF50" i="9"/>
  <c r="BF49" i="9"/>
  <c r="BF48" i="9"/>
  <c r="BF47" i="9"/>
  <c r="BF46" i="9"/>
  <c r="BF45" i="9"/>
  <c r="BF44" i="9"/>
  <c r="BF43" i="9"/>
  <c r="BF42" i="9"/>
  <c r="BF41" i="9"/>
  <c r="BF40" i="9"/>
  <c r="BF39" i="9"/>
  <c r="BF38" i="9"/>
  <c r="BF37" i="9"/>
  <c r="BF36" i="9"/>
  <c r="BF35" i="9"/>
  <c r="BF34" i="9"/>
  <c r="BF33" i="9"/>
  <c r="BF32" i="9"/>
  <c r="BF31" i="9"/>
  <c r="BF30" i="9"/>
  <c r="BF29" i="9"/>
  <c r="BF28" i="9"/>
  <c r="BF27" i="9"/>
  <c r="BF26" i="9"/>
  <c r="BF25" i="9"/>
  <c r="BF24" i="9"/>
  <c r="BF23" i="9"/>
  <c r="BF22" i="9"/>
  <c r="BF21" i="9"/>
  <c r="BF20" i="9"/>
  <c r="BF19" i="9"/>
  <c r="BF18" i="9"/>
  <c r="BF17" i="9"/>
  <c r="BF16" i="9"/>
  <c r="BF15" i="9"/>
  <c r="BF14" i="9"/>
  <c r="BF13" i="9"/>
  <c r="BF12" i="9"/>
  <c r="BF11" i="9"/>
  <c r="BF10" i="9"/>
  <c r="BF9" i="9"/>
  <c r="BF8" i="9"/>
  <c r="BF7" i="9"/>
  <c r="BF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BD65" i="9"/>
  <c r="BD64" i="9"/>
  <c r="BD63" i="9"/>
  <c r="BD62" i="9"/>
  <c r="BD61" i="9"/>
  <c r="BD60" i="9"/>
  <c r="BD59" i="9"/>
  <c r="BD58" i="9"/>
  <c r="BD57" i="9"/>
  <c r="BD56" i="9"/>
  <c r="BD55" i="9"/>
  <c r="BD54" i="9"/>
  <c r="BD53" i="9"/>
  <c r="BD52" i="9"/>
  <c r="BD51" i="9"/>
  <c r="BD50" i="9"/>
  <c r="BD49" i="9"/>
  <c r="BD48" i="9"/>
  <c r="BD47" i="9"/>
  <c r="BD46" i="9"/>
  <c r="BD45" i="9"/>
  <c r="BD44" i="9"/>
  <c r="BD43" i="9"/>
  <c r="BD42" i="9"/>
  <c r="BD41" i="9"/>
  <c r="BD40" i="9"/>
  <c r="BD39" i="9"/>
  <c r="BD38" i="9"/>
  <c r="BD37" i="9"/>
  <c r="BD36" i="9"/>
  <c r="BD35" i="9"/>
  <c r="BD34" i="9"/>
  <c r="BD33" i="9"/>
  <c r="BD32" i="9"/>
  <c r="BD31" i="9"/>
  <c r="BD30" i="9"/>
  <c r="BD29" i="9"/>
  <c r="BD28" i="9"/>
  <c r="BD27" i="9"/>
  <c r="BD26" i="9"/>
  <c r="BD25" i="9"/>
  <c r="BD24" i="9"/>
  <c r="BD23" i="9"/>
  <c r="BD22" i="9"/>
  <c r="BD21" i="9"/>
  <c r="BD20" i="9"/>
  <c r="BD19" i="9"/>
  <c r="BD18" i="9"/>
  <c r="BD17" i="9"/>
  <c r="BD16" i="9"/>
  <c r="BD15" i="9"/>
  <c r="BD14" i="9"/>
  <c r="BD13" i="9"/>
  <c r="BD12" i="9"/>
  <c r="BD11" i="9"/>
  <c r="BD10" i="9"/>
  <c r="BD9" i="9"/>
  <c r="BD8" i="9"/>
  <c r="BD7" i="9"/>
  <c r="BD6" i="9"/>
  <c r="BC65" i="9"/>
  <c r="BC64" i="9"/>
  <c r="BC63" i="9"/>
  <c r="BC62" i="9"/>
  <c r="BC61" i="9"/>
  <c r="BC60" i="9"/>
  <c r="BC59" i="9"/>
  <c r="BC58" i="9"/>
  <c r="BC57" i="9"/>
  <c r="BC56" i="9"/>
  <c r="BC55" i="9"/>
  <c r="BC54" i="9"/>
  <c r="BC53" i="9"/>
  <c r="BC52" i="9"/>
  <c r="BC51" i="9"/>
  <c r="BC50" i="9"/>
  <c r="BC49" i="9"/>
  <c r="BC48" i="9"/>
  <c r="BC47" i="9"/>
  <c r="BC46" i="9"/>
  <c r="BC45" i="9"/>
  <c r="BC44" i="9"/>
  <c r="BC43" i="9"/>
  <c r="BC42" i="9"/>
  <c r="BC41" i="9"/>
  <c r="BC40" i="9"/>
  <c r="BC39" i="9"/>
  <c r="BC38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BB65" i="9"/>
  <c r="BB64" i="9"/>
  <c r="BB63" i="9"/>
  <c r="BB62" i="9"/>
  <c r="BB61" i="9"/>
  <c r="BB60" i="9"/>
  <c r="BB59" i="9"/>
  <c r="BB58" i="9"/>
  <c r="BB57" i="9"/>
  <c r="BB56" i="9"/>
  <c r="BB55" i="9"/>
  <c r="BB54" i="9"/>
  <c r="BB53" i="9"/>
  <c r="BB52" i="9"/>
  <c r="BB51" i="9"/>
  <c r="BB50" i="9"/>
  <c r="BB49" i="9"/>
  <c r="BB48" i="9"/>
  <c r="BB47" i="9"/>
  <c r="BB46" i="9"/>
  <c r="BB45" i="9"/>
  <c r="BB44" i="9"/>
  <c r="BB43" i="9"/>
  <c r="BB42" i="9"/>
  <c r="BB41" i="9"/>
  <c r="BB40" i="9"/>
  <c r="BB39" i="9"/>
  <c r="BB38" i="9"/>
  <c r="BB37" i="9"/>
  <c r="BB36" i="9"/>
  <c r="BB35" i="9"/>
  <c r="BB34" i="9"/>
  <c r="BB33" i="9"/>
  <c r="BB32" i="9"/>
  <c r="BB31" i="9"/>
  <c r="BB30" i="9"/>
  <c r="BB29" i="9"/>
  <c r="BB28" i="9"/>
  <c r="BB27" i="9"/>
  <c r="BB26" i="9"/>
  <c r="BB25" i="9"/>
  <c r="BB24" i="9"/>
  <c r="BB23" i="9"/>
  <c r="BB22" i="9"/>
  <c r="BB21" i="9"/>
  <c r="BB20" i="9"/>
  <c r="BB19" i="9"/>
  <c r="BB18" i="9"/>
  <c r="BB17" i="9"/>
  <c r="BB16" i="9"/>
  <c r="BB15" i="9"/>
  <c r="BB14" i="9"/>
  <c r="BB13" i="9"/>
  <c r="BB12" i="9"/>
  <c r="BB11" i="9"/>
  <c r="BB10" i="9"/>
  <c r="BB9" i="9"/>
  <c r="BB8" i="9"/>
  <c r="BB7" i="9"/>
  <c r="BB6" i="9"/>
  <c r="BA65" i="9"/>
  <c r="BA64" i="9"/>
  <c r="BA63" i="9"/>
  <c r="BA62" i="9"/>
  <c r="BA61" i="9"/>
  <c r="BA60" i="9"/>
  <c r="BA59" i="9"/>
  <c r="BA58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AZ65" i="9"/>
  <c r="AZ64" i="9"/>
  <c r="AZ63" i="9"/>
  <c r="AZ62" i="9"/>
  <c r="AZ61" i="9"/>
  <c r="AZ60" i="9"/>
  <c r="AZ59" i="9"/>
  <c r="AZ58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39" i="9"/>
  <c r="AZ38" i="9"/>
  <c r="AZ37" i="9"/>
  <c r="AZ36" i="9"/>
  <c r="AZ35" i="9"/>
  <c r="AZ34" i="9"/>
  <c r="AZ33" i="9"/>
  <c r="AZ32" i="9"/>
  <c r="AZ31" i="9"/>
  <c r="AZ30" i="9"/>
  <c r="AZ29" i="9"/>
  <c r="AZ28" i="9"/>
  <c r="AZ27" i="9"/>
  <c r="AZ26" i="9"/>
  <c r="AZ25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AY65" i="9"/>
  <c r="AY64" i="9"/>
  <c r="AY63" i="9"/>
  <c r="AY62" i="9"/>
  <c r="AY61" i="9"/>
  <c r="AY60" i="9"/>
  <c r="AY59" i="9"/>
  <c r="AY58" i="9"/>
  <c r="AY57" i="9"/>
  <c r="AY56" i="9"/>
  <c r="AY55" i="9"/>
  <c r="AY54" i="9"/>
  <c r="AY53" i="9"/>
  <c r="AY52" i="9"/>
  <c r="AY51" i="9"/>
  <c r="AY50" i="9"/>
  <c r="AY49" i="9"/>
  <c r="AY48" i="9"/>
  <c r="AY47" i="9"/>
  <c r="AY46" i="9"/>
  <c r="AY45" i="9"/>
  <c r="AY44" i="9"/>
  <c r="AY43" i="9"/>
  <c r="AY42" i="9"/>
  <c r="AY41" i="9"/>
  <c r="AY40" i="9"/>
  <c r="AY39" i="9"/>
  <c r="AY38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Y6" i="9"/>
  <c r="AX65" i="9"/>
  <c r="AX64" i="9"/>
  <c r="AX63" i="9"/>
  <c r="AX62" i="9"/>
  <c r="AX61" i="9"/>
  <c r="AX60" i="9"/>
  <c r="AX59" i="9"/>
  <c r="AX58" i="9"/>
  <c r="AX57" i="9"/>
  <c r="AX56" i="9"/>
  <c r="AX55" i="9"/>
  <c r="AX54" i="9"/>
  <c r="AX53" i="9"/>
  <c r="AX52" i="9"/>
  <c r="AX51" i="9"/>
  <c r="AX50" i="9"/>
  <c r="AX49" i="9"/>
  <c r="AX48" i="9"/>
  <c r="AX47" i="9"/>
  <c r="AX46" i="9"/>
  <c r="AX45" i="9"/>
  <c r="AX44" i="9"/>
  <c r="AX43" i="9"/>
  <c r="AX42" i="9"/>
  <c r="AX41" i="9"/>
  <c r="AX40" i="9"/>
  <c r="AX39" i="9"/>
  <c r="AX38" i="9"/>
  <c r="AX37" i="9"/>
  <c r="AX36" i="9"/>
  <c r="AX35" i="9"/>
  <c r="AX34" i="9"/>
  <c r="AX33" i="9"/>
  <c r="AX32" i="9"/>
  <c r="AX31" i="9"/>
  <c r="AX30" i="9"/>
  <c r="AX29" i="9"/>
  <c r="AX28" i="9"/>
  <c r="AX27" i="9"/>
  <c r="AX26" i="9"/>
  <c r="AX25" i="9"/>
  <c r="AX24" i="9"/>
  <c r="AX23" i="9"/>
  <c r="AX22" i="9"/>
  <c r="AX21" i="9"/>
  <c r="AX20" i="9"/>
  <c r="AX19" i="9"/>
  <c r="AX18" i="9"/>
  <c r="AX17" i="9"/>
  <c r="AX16" i="9"/>
  <c r="AX15" i="9"/>
  <c r="AX14" i="9"/>
  <c r="AX13" i="9"/>
  <c r="AX12" i="9"/>
  <c r="AX11" i="9"/>
  <c r="AX10" i="9"/>
  <c r="AX9" i="9"/>
  <c r="AX8" i="9"/>
  <c r="AX7" i="9"/>
  <c r="AX6" i="9"/>
  <c r="AW65" i="9"/>
  <c r="AW64" i="9"/>
  <c r="AW63" i="9"/>
  <c r="AW62" i="9"/>
  <c r="AW61" i="9"/>
  <c r="AW60" i="9"/>
  <c r="AW59" i="9"/>
  <c r="AW58" i="9"/>
  <c r="AW57" i="9"/>
  <c r="AW56" i="9"/>
  <c r="AW55" i="9"/>
  <c r="AW54" i="9"/>
  <c r="AW53" i="9"/>
  <c r="AW52" i="9"/>
  <c r="AW51" i="9"/>
  <c r="AW50" i="9"/>
  <c r="AW49" i="9"/>
  <c r="AW48" i="9"/>
  <c r="AW47" i="9"/>
  <c r="AW46" i="9"/>
  <c r="AW45" i="9"/>
  <c r="AW44" i="9"/>
  <c r="AW43" i="9"/>
  <c r="AW42" i="9"/>
  <c r="AW41" i="9"/>
  <c r="AW40" i="9"/>
  <c r="AW39" i="9"/>
  <c r="AW38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W6" i="9"/>
  <c r="AV65" i="9"/>
  <c r="AV64" i="9"/>
  <c r="AV63" i="9"/>
  <c r="AV62" i="9"/>
  <c r="AV61" i="9"/>
  <c r="AV60" i="9"/>
  <c r="AV59" i="9"/>
  <c r="AV58" i="9"/>
  <c r="AV57" i="9"/>
  <c r="AV56" i="9"/>
  <c r="AV55" i="9"/>
  <c r="AV54" i="9"/>
  <c r="AV53" i="9"/>
  <c r="AV52" i="9"/>
  <c r="AV51" i="9"/>
  <c r="AV50" i="9"/>
  <c r="AV49" i="9"/>
  <c r="AV48" i="9"/>
  <c r="AV47" i="9"/>
  <c r="AV46" i="9"/>
  <c r="AV45" i="9"/>
  <c r="AV44" i="9"/>
  <c r="AV43" i="9"/>
  <c r="AV42" i="9"/>
  <c r="AV41" i="9"/>
  <c r="AV40" i="9"/>
  <c r="AV39" i="9"/>
  <c r="AV38" i="9"/>
  <c r="AV37" i="9"/>
  <c r="AV36" i="9"/>
  <c r="AV35" i="9"/>
  <c r="AV34" i="9"/>
  <c r="AV33" i="9"/>
  <c r="AV32" i="9"/>
  <c r="AV31" i="9"/>
  <c r="AV30" i="9"/>
  <c r="AV29" i="9"/>
  <c r="AV28" i="9"/>
  <c r="AV2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V6" i="9"/>
  <c r="AU65" i="9"/>
  <c r="AU64" i="9"/>
  <c r="AU63" i="9"/>
  <c r="AU62" i="9"/>
  <c r="AU61" i="9"/>
  <c r="AU60" i="9"/>
  <c r="AU59" i="9"/>
  <c r="AU58" i="9"/>
  <c r="AU57" i="9"/>
  <c r="AU56" i="9"/>
  <c r="AU55" i="9"/>
  <c r="AU54" i="9"/>
  <c r="AU53" i="9"/>
  <c r="AU52" i="9"/>
  <c r="AU51" i="9"/>
  <c r="AU50" i="9"/>
  <c r="AU49" i="9"/>
  <c r="AU48" i="9"/>
  <c r="AU47" i="9"/>
  <c r="AU46" i="9"/>
  <c r="AU45" i="9"/>
  <c r="AU44" i="9"/>
  <c r="AU43" i="9"/>
  <c r="AU42" i="9"/>
  <c r="AU41" i="9"/>
  <c r="AU40" i="9"/>
  <c r="AU39" i="9"/>
  <c r="AU38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U6" i="9"/>
  <c r="AT65" i="9"/>
  <c r="AT64" i="9"/>
  <c r="AT63" i="9"/>
  <c r="AT62" i="9"/>
  <c r="AT61" i="9"/>
  <c r="AT60" i="9"/>
  <c r="AT59" i="9"/>
  <c r="AT58" i="9"/>
  <c r="AT57" i="9"/>
  <c r="AT56" i="9"/>
  <c r="AT55" i="9"/>
  <c r="AT54" i="9"/>
  <c r="AT53" i="9"/>
  <c r="AT52" i="9"/>
  <c r="AT51" i="9"/>
  <c r="AT50" i="9"/>
  <c r="AT49" i="9"/>
  <c r="AT48" i="9"/>
  <c r="AT47" i="9"/>
  <c r="AT46" i="9"/>
  <c r="AT45" i="9"/>
  <c r="AT44" i="9"/>
  <c r="AT43" i="9"/>
  <c r="AT42" i="9"/>
  <c r="AT41" i="9"/>
  <c r="AT40" i="9"/>
  <c r="AT39" i="9"/>
  <c r="AT38" i="9"/>
  <c r="AT37" i="9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T12" i="9"/>
  <c r="AT11" i="9"/>
  <c r="AT10" i="9"/>
  <c r="AT9" i="9"/>
  <c r="AT8" i="9"/>
  <c r="AT7" i="9"/>
  <c r="AT6" i="9"/>
  <c r="AS65" i="9"/>
  <c r="AS64" i="9"/>
  <c r="AS63" i="9"/>
  <c r="AS62" i="9"/>
  <c r="AS61" i="9"/>
  <c r="AS60" i="9"/>
  <c r="AS59" i="9"/>
  <c r="AS58" i="9"/>
  <c r="AS57" i="9"/>
  <c r="AS56" i="9"/>
  <c r="AS55" i="9"/>
  <c r="AS54" i="9"/>
  <c r="AS53" i="9"/>
  <c r="AS52" i="9"/>
  <c r="AS51" i="9"/>
  <c r="AS50" i="9"/>
  <c r="AS49" i="9"/>
  <c r="AS48" i="9"/>
  <c r="AS47" i="9"/>
  <c r="AS46" i="9"/>
  <c r="AS45" i="9"/>
  <c r="AS44" i="9"/>
  <c r="AS43" i="9"/>
  <c r="AS42" i="9"/>
  <c r="AS41" i="9"/>
  <c r="AS40" i="9"/>
  <c r="AS39" i="9"/>
  <c r="AS38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S6" i="9"/>
  <c r="AR65" i="9"/>
  <c r="AR64" i="9"/>
  <c r="AR63" i="9"/>
  <c r="AR62" i="9"/>
  <c r="AR61" i="9"/>
  <c r="AR60" i="9"/>
  <c r="AR59" i="9"/>
  <c r="AR58" i="9"/>
  <c r="AR57" i="9"/>
  <c r="AR56" i="9"/>
  <c r="AR55" i="9"/>
  <c r="AR54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40" i="9"/>
  <c r="AR39" i="9"/>
  <c r="AR38" i="9"/>
  <c r="AR37" i="9"/>
  <c r="AR36" i="9"/>
  <c r="AR35" i="9"/>
  <c r="AR34" i="9"/>
  <c r="AR33" i="9"/>
  <c r="AR32" i="9"/>
  <c r="AR31" i="9"/>
  <c r="AR30" i="9"/>
  <c r="AR29" i="9"/>
  <c r="AR28" i="9"/>
  <c r="AR27" i="9"/>
  <c r="AR26" i="9"/>
  <c r="AR25" i="9"/>
  <c r="AR24" i="9"/>
  <c r="AR23" i="9"/>
  <c r="AR22" i="9"/>
  <c r="AR21" i="9"/>
  <c r="AR20" i="9"/>
  <c r="AR19" i="9"/>
  <c r="AR18" i="9"/>
  <c r="AR17" i="9"/>
  <c r="AR16" i="9"/>
  <c r="AR15" i="9"/>
  <c r="AR14" i="9"/>
  <c r="AR13" i="9"/>
  <c r="AR12" i="9"/>
  <c r="AR11" i="9"/>
  <c r="AR10" i="9"/>
  <c r="AR9" i="9"/>
  <c r="AR8" i="9"/>
  <c r="AR7" i="9"/>
  <c r="AR6" i="9"/>
  <c r="AQ6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P65" i="9"/>
  <c r="AP64" i="9"/>
  <c r="AP63" i="9"/>
  <c r="AP62" i="9"/>
  <c r="AP61" i="9"/>
  <c r="AP60" i="9"/>
  <c r="AP59" i="9"/>
  <c r="AP58" i="9"/>
  <c r="AP57" i="9"/>
  <c r="AP56" i="9"/>
  <c r="AP55" i="9"/>
  <c r="AP54" i="9"/>
  <c r="AP53" i="9"/>
  <c r="AP52" i="9"/>
  <c r="AP51" i="9"/>
  <c r="AP50" i="9"/>
  <c r="AP49" i="9"/>
  <c r="AP48" i="9"/>
  <c r="AP47" i="9"/>
  <c r="AP46" i="9"/>
  <c r="AP45" i="9"/>
  <c r="AP44" i="9"/>
  <c r="AP43" i="9"/>
  <c r="AP42" i="9"/>
  <c r="AP41" i="9"/>
  <c r="AP40" i="9"/>
  <c r="AP39" i="9"/>
  <c r="AP38" i="9"/>
  <c r="AP37" i="9"/>
  <c r="AP36" i="9"/>
  <c r="AP35" i="9"/>
  <c r="AP34" i="9"/>
  <c r="AP33" i="9"/>
  <c r="AP32" i="9"/>
  <c r="AP31" i="9"/>
  <c r="AP30" i="9"/>
  <c r="AP29" i="9"/>
  <c r="AP28" i="9"/>
  <c r="AP27" i="9"/>
  <c r="AP26" i="9"/>
  <c r="AP25" i="9"/>
  <c r="AP24" i="9"/>
  <c r="AP23" i="9"/>
  <c r="AP22" i="9"/>
  <c r="AP21" i="9"/>
  <c r="AP20" i="9"/>
  <c r="AP19" i="9"/>
  <c r="AP18" i="9"/>
  <c r="AP17" i="9"/>
  <c r="AP16" i="9"/>
  <c r="AP15" i="9"/>
  <c r="AP14" i="9"/>
  <c r="AP13" i="9"/>
  <c r="AP12" i="9"/>
  <c r="AP11" i="9"/>
  <c r="AP10" i="9"/>
  <c r="AP9" i="9"/>
  <c r="AP8" i="9"/>
  <c r="AP7" i="9"/>
  <c r="AP6" i="9"/>
  <c r="AO6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N65" i="9"/>
  <c r="AN64" i="9"/>
  <c r="AN63" i="9"/>
  <c r="AN62" i="9"/>
  <c r="AN61" i="9"/>
  <c r="AN60" i="9"/>
  <c r="AN59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40" i="9"/>
  <c r="AN39" i="9"/>
  <c r="AN38" i="9"/>
  <c r="AN37" i="9"/>
  <c r="AN36" i="9"/>
  <c r="AN35" i="9"/>
  <c r="AN34" i="9"/>
  <c r="AN33" i="9"/>
  <c r="AN32" i="9"/>
  <c r="AN31" i="9"/>
  <c r="AN30" i="9"/>
  <c r="AN29" i="9"/>
  <c r="AN28" i="9"/>
  <c r="AN27" i="9"/>
  <c r="AN26" i="9"/>
  <c r="AN25" i="9"/>
  <c r="AN24" i="9"/>
  <c r="AN23" i="9"/>
  <c r="AN22" i="9"/>
  <c r="AN21" i="9"/>
  <c r="AN20" i="9"/>
  <c r="AN19" i="9"/>
  <c r="AN18" i="9"/>
  <c r="AN17" i="9"/>
  <c r="AN16" i="9"/>
  <c r="AN15" i="9"/>
  <c r="AN14" i="9"/>
  <c r="AN13" i="9"/>
  <c r="AN12" i="9"/>
  <c r="AN11" i="9"/>
  <c r="AN10" i="9"/>
  <c r="AN9" i="9"/>
  <c r="AN8" i="9"/>
  <c r="AN7" i="9"/>
  <c r="AN6" i="9"/>
  <c r="AM6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L6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K65" i="9"/>
  <c r="AK64" i="9"/>
  <c r="AK63" i="9"/>
  <c r="AK62" i="9"/>
  <c r="AK61" i="9"/>
  <c r="AK60" i="9"/>
  <c r="AK59" i="9"/>
  <c r="AK58" i="9"/>
  <c r="AK57" i="9"/>
  <c r="AK56" i="9"/>
  <c r="AK55" i="9"/>
  <c r="AK54" i="9"/>
  <c r="AK53" i="9"/>
  <c r="AK52" i="9"/>
  <c r="AK51" i="9"/>
  <c r="AK50" i="9"/>
  <c r="AK49" i="9"/>
  <c r="AK48" i="9"/>
  <c r="AK47" i="9"/>
  <c r="AK46" i="9"/>
  <c r="AK45" i="9"/>
  <c r="AK44" i="9"/>
  <c r="AK43" i="9"/>
  <c r="AK42" i="9"/>
  <c r="AK41" i="9"/>
  <c r="AK40" i="9"/>
  <c r="AK39" i="9"/>
  <c r="AK38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K6" i="9"/>
  <c r="AJ65" i="9"/>
  <c r="AJ64" i="9"/>
  <c r="AJ63" i="9"/>
  <c r="AJ62" i="9"/>
  <c r="AJ61" i="9"/>
  <c r="AJ60" i="9"/>
  <c r="AJ59" i="9"/>
  <c r="AJ58" i="9"/>
  <c r="AJ57" i="9"/>
  <c r="AJ56" i="9"/>
  <c r="AJ55" i="9"/>
  <c r="AJ54" i="9"/>
  <c r="AJ53" i="9"/>
  <c r="AJ52" i="9"/>
  <c r="AJ51" i="9"/>
  <c r="AJ50" i="9"/>
  <c r="AJ49" i="9"/>
  <c r="AJ48" i="9"/>
  <c r="AJ47" i="9"/>
  <c r="AJ46" i="9"/>
  <c r="AJ45" i="9"/>
  <c r="AJ44" i="9"/>
  <c r="AJ43" i="9"/>
  <c r="AJ42" i="9"/>
  <c r="AJ41" i="9"/>
  <c r="AJ40" i="9"/>
  <c r="AJ39" i="9"/>
  <c r="AJ38" i="9"/>
  <c r="AJ37" i="9"/>
  <c r="AJ36" i="9"/>
  <c r="AJ35" i="9"/>
  <c r="AJ34" i="9"/>
  <c r="AJ33" i="9"/>
  <c r="AJ32" i="9"/>
  <c r="AJ31" i="9"/>
  <c r="AJ30" i="9"/>
  <c r="AJ29" i="9"/>
  <c r="AJ28" i="9"/>
  <c r="AJ27" i="9"/>
  <c r="AJ26" i="9"/>
  <c r="AJ25" i="9"/>
  <c r="AJ24" i="9"/>
  <c r="AJ23" i="9"/>
  <c r="AJ22" i="9"/>
  <c r="AJ21" i="9"/>
  <c r="AJ20" i="9"/>
  <c r="AJ19" i="9"/>
  <c r="AJ18" i="9"/>
  <c r="AJ17" i="9"/>
  <c r="AJ16" i="9"/>
  <c r="AJ15" i="9"/>
  <c r="AJ14" i="9"/>
  <c r="AJ13" i="9"/>
  <c r="AJ12" i="9"/>
  <c r="AJ11" i="9"/>
  <c r="AJ10" i="9"/>
  <c r="AJ9" i="9"/>
  <c r="AJ8" i="9"/>
  <c r="AJ7" i="9"/>
  <c r="AJ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I6" i="9"/>
  <c r="AH65" i="9"/>
  <c r="AH64" i="9"/>
  <c r="AH63" i="9"/>
  <c r="AH62" i="9"/>
  <c r="AH61" i="9"/>
  <c r="AH60" i="9"/>
  <c r="AH59" i="9"/>
  <c r="AH58" i="9"/>
  <c r="AH57" i="9"/>
  <c r="AH56" i="9"/>
  <c r="AH55" i="9"/>
  <c r="AH54" i="9"/>
  <c r="AH53" i="9"/>
  <c r="AH52" i="9"/>
  <c r="AH51" i="9"/>
  <c r="AH50" i="9"/>
  <c r="AH49" i="9"/>
  <c r="AH48" i="9"/>
  <c r="AH47" i="9"/>
  <c r="AH46" i="9"/>
  <c r="AH45" i="9"/>
  <c r="AH44" i="9"/>
  <c r="AH43" i="9"/>
  <c r="AH42" i="9"/>
  <c r="AH41" i="9"/>
  <c r="AH40" i="9"/>
  <c r="AH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G65" i="9"/>
  <c r="AG64" i="9"/>
  <c r="AG63" i="9"/>
  <c r="AG62" i="9"/>
  <c r="AG61" i="9"/>
  <c r="AG60" i="9"/>
  <c r="AG59" i="9"/>
  <c r="AG58" i="9"/>
  <c r="AG57" i="9"/>
  <c r="AG56" i="9"/>
  <c r="AG55" i="9"/>
  <c r="AG54" i="9"/>
  <c r="AG53" i="9"/>
  <c r="AG52" i="9"/>
  <c r="AG51" i="9"/>
  <c r="AG50" i="9"/>
  <c r="AG49" i="9"/>
  <c r="AG48" i="9"/>
  <c r="AG47" i="9"/>
  <c r="AG46" i="9"/>
  <c r="AG45" i="9"/>
  <c r="AG44" i="9"/>
  <c r="AG43" i="9"/>
  <c r="AG42" i="9"/>
  <c r="AG41" i="9"/>
  <c r="AG40" i="9"/>
  <c r="AG39" i="9"/>
  <c r="AG3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8" i="9"/>
  <c r="AG7" i="9"/>
  <c r="AG6" i="9"/>
  <c r="AF65" i="9"/>
  <c r="AF64" i="9"/>
  <c r="AF63" i="9"/>
  <c r="AF62" i="9"/>
  <c r="AF61" i="9"/>
  <c r="AF60" i="9"/>
  <c r="AF59" i="9"/>
  <c r="AF58" i="9"/>
  <c r="AF57" i="9"/>
  <c r="AF56" i="9"/>
  <c r="AF55" i="9"/>
  <c r="AF54" i="9"/>
  <c r="AF53" i="9"/>
  <c r="AF52" i="9"/>
  <c r="AF51" i="9"/>
  <c r="AF50" i="9"/>
  <c r="AF49" i="9"/>
  <c r="AF48" i="9"/>
  <c r="AF47" i="9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E65" i="9"/>
  <c r="AE64" i="9"/>
  <c r="AE63" i="9"/>
  <c r="AE62" i="9"/>
  <c r="AE61" i="9"/>
  <c r="AE60" i="9"/>
  <c r="AE59" i="9"/>
  <c r="AE58" i="9"/>
  <c r="AE57" i="9"/>
  <c r="AE56" i="9"/>
  <c r="AE55" i="9"/>
  <c r="AE54" i="9"/>
  <c r="AE53" i="9"/>
  <c r="AE52" i="9"/>
  <c r="AE51" i="9"/>
  <c r="AE50" i="9"/>
  <c r="AE49" i="9"/>
  <c r="AE48" i="9"/>
  <c r="AE47" i="9"/>
  <c r="AE46" i="9"/>
  <c r="AE45" i="9"/>
  <c r="AE44" i="9"/>
  <c r="AE43" i="9"/>
  <c r="AE42" i="9"/>
  <c r="AE41" i="9"/>
  <c r="AE40" i="9"/>
  <c r="AE39" i="9"/>
  <c r="AE38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E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C65" i="9"/>
  <c r="AC64" i="9"/>
  <c r="AC63" i="9"/>
  <c r="AC62" i="9"/>
  <c r="AC61" i="9"/>
  <c r="AC60" i="9"/>
  <c r="AC59" i="9"/>
  <c r="AC58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B65" i="9"/>
  <c r="AB64" i="9"/>
  <c r="AB63" i="9"/>
  <c r="AB62" i="9"/>
  <c r="AB61" i="9"/>
  <c r="AB60" i="9"/>
  <c r="AB59" i="9"/>
  <c r="AB58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40" i="9"/>
  <c r="AB39" i="9"/>
  <c r="AB38" i="9"/>
  <c r="AB37" i="9"/>
  <c r="AB36" i="9"/>
  <c r="AB35" i="9"/>
  <c r="AB34" i="9"/>
  <c r="AB33" i="9"/>
  <c r="AB32" i="9"/>
  <c r="AB31" i="9"/>
  <c r="AB30" i="9"/>
  <c r="AB29" i="9"/>
  <c r="AB28" i="9"/>
  <c r="AB27" i="9"/>
  <c r="AB26" i="9"/>
  <c r="AB25" i="9"/>
  <c r="AB24" i="9"/>
  <c r="AB23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AB7" i="9"/>
  <c r="AB6" i="9"/>
  <c r="AA65" i="9"/>
  <c r="AA64" i="9"/>
  <c r="AA63" i="9"/>
  <c r="AA62" i="9"/>
  <c r="AA61" i="9"/>
  <c r="AA60" i="9"/>
  <c r="AA59" i="9"/>
  <c r="AA58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40" i="9"/>
  <c r="AA39" i="9"/>
  <c r="AA38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Z65" i="9"/>
  <c r="Z64" i="9"/>
  <c r="Z63" i="9"/>
  <c r="Z62" i="9"/>
  <c r="Z61" i="9"/>
  <c r="Z60" i="9"/>
  <c r="Z59" i="9"/>
  <c r="Z58" i="9"/>
  <c r="Z57" i="9"/>
  <c r="Z56" i="9"/>
  <c r="Z55" i="9"/>
  <c r="Z54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Y65" i="9"/>
  <c r="Y64" i="9"/>
  <c r="Y63" i="9"/>
  <c r="Y62" i="9"/>
  <c r="Y61" i="9"/>
  <c r="Y60" i="9"/>
  <c r="Y59" i="9"/>
  <c r="Y58" i="9"/>
  <c r="Y57" i="9"/>
  <c r="Y56" i="9"/>
  <c r="Y55" i="9"/>
  <c r="Y54" i="9"/>
  <c r="Y53" i="9"/>
  <c r="Y52" i="9"/>
  <c r="Y51" i="9"/>
  <c r="Y50" i="9"/>
  <c r="Y49" i="9"/>
  <c r="Y48" i="9"/>
  <c r="Y47" i="9"/>
  <c r="Y46" i="9"/>
  <c r="Y45" i="9"/>
  <c r="Y44" i="9"/>
  <c r="Y43" i="9"/>
  <c r="Y42" i="9"/>
  <c r="Y41" i="9"/>
  <c r="Y40" i="9"/>
  <c r="Y39" i="9"/>
  <c r="Y38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W51" i="9"/>
  <c r="W50" i="9"/>
  <c r="W49" i="9"/>
  <c r="W48" i="9"/>
  <c r="W47" i="9"/>
  <c r="W46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Q65" i="9"/>
  <c r="Q64" i="9"/>
  <c r="Q63" i="9"/>
  <c r="Q62" i="9"/>
  <c r="Q61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BJ65" i="9"/>
  <c r="BI65" i="9"/>
  <c r="BH65" i="9"/>
  <c r="BJ64" i="9"/>
  <c r="BI64" i="9"/>
  <c r="BH64" i="9"/>
  <c r="BJ63" i="9"/>
  <c r="BI63" i="9"/>
  <c r="BH63" i="9"/>
  <c r="BJ62" i="9"/>
  <c r="BI62" i="9"/>
  <c r="BH62" i="9"/>
  <c r="BJ61" i="9"/>
  <c r="BI61" i="9"/>
  <c r="BH61" i="9"/>
  <c r="BJ60" i="9"/>
  <c r="BI60" i="9"/>
  <c r="BH60" i="9"/>
  <c r="BJ59" i="9"/>
  <c r="BI59" i="9"/>
  <c r="BH59" i="9"/>
  <c r="BJ58" i="9"/>
  <c r="BI58" i="9"/>
  <c r="BH58" i="9"/>
  <c r="BJ57" i="9"/>
  <c r="BI57" i="9"/>
  <c r="BH57" i="9"/>
  <c r="BJ56" i="9"/>
  <c r="BI56" i="9"/>
  <c r="BH56" i="9"/>
  <c r="BJ55" i="9"/>
  <c r="BI55" i="9"/>
  <c r="BH55" i="9"/>
  <c r="BJ54" i="9"/>
  <c r="BI54" i="9"/>
  <c r="BH54" i="9"/>
  <c r="BJ53" i="9"/>
  <c r="BI53" i="9"/>
  <c r="BH53" i="9"/>
  <c r="BJ52" i="9"/>
  <c r="BI52" i="9"/>
  <c r="BH52" i="9"/>
  <c r="BJ51" i="9"/>
  <c r="BI51" i="9"/>
  <c r="BH51" i="9"/>
  <c r="BJ50" i="9"/>
  <c r="BI50" i="9"/>
  <c r="BH50" i="9"/>
  <c r="BJ49" i="9"/>
  <c r="BI49" i="9"/>
  <c r="BH49" i="9"/>
  <c r="BJ48" i="9"/>
  <c r="BI48" i="9"/>
  <c r="BH48" i="9"/>
  <c r="BJ47" i="9"/>
  <c r="BI47" i="9"/>
  <c r="BH47" i="9"/>
  <c r="BJ46" i="9"/>
  <c r="BI46" i="9"/>
  <c r="BH46" i="9"/>
  <c r="BJ45" i="9"/>
  <c r="BI45" i="9"/>
  <c r="BH45" i="9"/>
  <c r="BJ44" i="9"/>
  <c r="BI44" i="9"/>
  <c r="BH44" i="9"/>
  <c r="BJ43" i="9"/>
  <c r="BI43" i="9"/>
  <c r="BH43" i="9"/>
  <c r="BJ42" i="9"/>
  <c r="BI42" i="9"/>
  <c r="BH42" i="9"/>
  <c r="BJ41" i="9"/>
  <c r="BI41" i="9"/>
  <c r="BH41" i="9"/>
  <c r="BJ40" i="9"/>
  <c r="BI40" i="9"/>
  <c r="BH40" i="9"/>
  <c r="BJ39" i="9"/>
  <c r="BI39" i="9"/>
  <c r="BH39" i="9"/>
  <c r="BJ38" i="9"/>
  <c r="BI38" i="9"/>
  <c r="BH38" i="9"/>
  <c r="BJ37" i="9"/>
  <c r="BI37" i="9"/>
  <c r="BH37" i="9"/>
  <c r="BJ36" i="9"/>
  <c r="BI36" i="9"/>
  <c r="BH36" i="9"/>
  <c r="BJ35" i="9"/>
  <c r="BI35" i="9"/>
  <c r="BH35" i="9"/>
  <c r="BJ34" i="9"/>
  <c r="BI34" i="9"/>
  <c r="BH34" i="9"/>
  <c r="BJ33" i="9"/>
  <c r="BI33" i="9"/>
  <c r="BH33" i="9"/>
  <c r="BJ32" i="9"/>
  <c r="BI32" i="9"/>
  <c r="BH32" i="9"/>
  <c r="BJ31" i="9"/>
  <c r="BI31" i="9"/>
  <c r="BH31" i="9"/>
  <c r="BJ30" i="9"/>
  <c r="BI30" i="9"/>
  <c r="BH30" i="9"/>
  <c r="BJ29" i="9"/>
  <c r="BI29" i="9"/>
  <c r="BH29" i="9"/>
  <c r="BJ28" i="9"/>
  <c r="BI28" i="9"/>
  <c r="BH28" i="9"/>
  <c r="BJ27" i="9"/>
  <c r="BI27" i="9"/>
  <c r="BH27" i="9"/>
  <c r="BJ26" i="9"/>
  <c r="BI26" i="9"/>
  <c r="BH26" i="9"/>
  <c r="BJ25" i="9"/>
  <c r="BI25" i="9"/>
  <c r="BH25" i="9"/>
  <c r="BJ24" i="9"/>
  <c r="BI24" i="9"/>
  <c r="BH24" i="9"/>
  <c r="BJ23" i="9"/>
  <c r="BI23" i="9"/>
  <c r="BH23" i="9"/>
  <c r="BJ22" i="9"/>
  <c r="BI22" i="9"/>
  <c r="BH22" i="9"/>
  <c r="BJ21" i="9"/>
  <c r="BI21" i="9"/>
  <c r="BH21" i="9"/>
  <c r="BJ20" i="9"/>
  <c r="BI20" i="9"/>
  <c r="BH20" i="9"/>
  <c r="BJ19" i="9"/>
  <c r="BI19" i="9"/>
  <c r="BH19" i="9"/>
  <c r="BJ18" i="9"/>
  <c r="BI18" i="9"/>
  <c r="BH18" i="9"/>
  <c r="BJ17" i="9"/>
  <c r="BI17" i="9"/>
  <c r="BH17" i="9"/>
  <c r="BJ16" i="9"/>
  <c r="BI16" i="9"/>
  <c r="BH16" i="9"/>
  <c r="BJ15" i="9"/>
  <c r="BI15" i="9"/>
  <c r="BH15" i="9"/>
  <c r="BJ14" i="9"/>
  <c r="BI14" i="9"/>
  <c r="BH14" i="9"/>
  <c r="BJ13" i="9"/>
  <c r="BI13" i="9"/>
  <c r="BH13" i="9"/>
  <c r="BJ12" i="9"/>
  <c r="BI12" i="9"/>
  <c r="BH12" i="9"/>
  <c r="BJ11" i="9"/>
  <c r="BI11" i="9"/>
  <c r="BH11" i="9"/>
  <c r="BJ10" i="9"/>
  <c r="BI10" i="9"/>
  <c r="BH10" i="9"/>
  <c r="BJ9" i="9"/>
  <c r="BI9" i="9"/>
  <c r="BH9" i="9"/>
  <c r="BJ8" i="9"/>
  <c r="BI8" i="9"/>
  <c r="BH8" i="9"/>
  <c r="BJ7" i="9"/>
  <c r="BI7" i="9"/>
  <c r="BH7" i="9"/>
  <c r="BJ6" i="9"/>
  <c r="BI6" i="9"/>
  <c r="BH6" i="9"/>
  <c r="O5" i="1"/>
  <c r="N5" i="1"/>
  <c r="M5" i="1"/>
  <c r="L5" i="1"/>
  <c r="K5" i="1"/>
  <c r="J5" i="1"/>
  <c r="I5" i="1"/>
  <c r="H5" i="1"/>
  <c r="G5" i="1"/>
</calcChain>
</file>

<file path=xl/sharedStrings.xml><?xml version="1.0" encoding="utf-8"?>
<sst xmlns="http://schemas.openxmlformats.org/spreadsheetml/2006/main" count="472" uniqueCount="394">
  <si>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</si>
  <si>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</si>
  <si>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</si>
  <si>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</si>
  <si>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</si>
  <si>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</si>
  <si>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</si>
  <si>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</si>
  <si>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</si>
  <si>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</si>
  <si>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</si>
  <si>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</si>
  <si>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</si>
  <si>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</si>
  <si>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</si>
  <si>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</si>
  <si>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</si>
  <si>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</si>
  <si>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</si>
  <si>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</si>
  <si>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ブラック・マジシャン</t>
    <phoneticPr fontId="1"/>
  </si>
  <si>
    <t>temp1_</t>
    <phoneticPr fontId="1"/>
  </si>
  <si>
    <t>temp2_</t>
    <phoneticPr fontId="1"/>
  </si>
  <si>
    <t>temp3_</t>
    <phoneticPr fontId="1"/>
  </si>
  <si>
    <t>temp4_</t>
    <phoneticPr fontId="1"/>
  </si>
  <si>
    <t>temp5_</t>
    <phoneticPr fontId="1"/>
  </si>
  <si>
    <t>temp6_</t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</si>
  <si>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</si>
  <si>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</si>
  <si>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</si>
  <si>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</si>
  <si>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</si>
  <si>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</si>
  <si>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effect1_</t>
    <phoneticPr fontId="1"/>
  </si>
  <si>
    <t>effect1_arg1_</t>
    <phoneticPr fontId="1"/>
  </si>
  <si>
    <t>effect1_arg2_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</si>
  <si>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</si>
  <si>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</si>
  <si>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</si>
  <si>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</si>
  <si>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</si>
  <si>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effect3_</t>
    <phoneticPr fontId="1"/>
  </si>
  <si>
    <t>effect3_arg1_</t>
    <phoneticPr fontId="1"/>
  </si>
  <si>
    <t>effect3_arg2_</t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</si>
  <si>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</si>
  <si>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</si>
  <si>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</si>
  <si>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</si>
  <si>
    <t>(青眼の白龍)[ブルーアイズホワイトドラゴン]</t>
    <phoneticPr fontId="1"/>
  </si>
  <si>
    <t>わざ条件1</t>
    <rPh sb="2" eb="4">
      <t>ジョウケン</t>
    </rPh>
    <phoneticPr fontId="1"/>
  </si>
  <si>
    <t>わざ1</t>
    <phoneticPr fontId="1"/>
  </si>
  <si>
    <t>わざ条件2</t>
    <rPh sb="2" eb="4">
      <t>ジョウケン</t>
    </rPh>
    <phoneticPr fontId="1"/>
  </si>
  <si>
    <t>わざ2</t>
    <phoneticPr fontId="1"/>
  </si>
  <si>
    <t>わざ条件3</t>
    <rPh sb="2" eb="4">
      <t>ジョウケン</t>
    </rPh>
    <phoneticPr fontId="1"/>
  </si>
  <si>
    <t>わざ3</t>
    <phoneticPr fontId="1"/>
  </si>
  <si>
    <t>effect1_cond_</t>
    <phoneticPr fontId="1"/>
  </si>
  <si>
    <t>effect1_cond_arg1_</t>
    <phoneticPr fontId="1"/>
  </si>
  <si>
    <t>effect1_cond_arg2_</t>
    <phoneticPr fontId="1"/>
  </si>
  <si>
    <t>effect2_cond_</t>
    <phoneticPr fontId="1"/>
  </si>
  <si>
    <t>effect2_cond_arg1_</t>
    <phoneticPr fontId="1"/>
  </si>
  <si>
    <t>effect2_cond_arg2_</t>
    <phoneticPr fontId="1"/>
  </si>
  <si>
    <t>effect3_cond_</t>
    <phoneticPr fontId="1"/>
  </si>
  <si>
    <t>effect3_cond_arg1_</t>
    <phoneticPr fontId="1"/>
  </si>
  <si>
    <t>effect3_cond_arg2_</t>
    <phoneticPr fontId="1"/>
  </si>
  <si>
    <t>ability1_cond_</t>
    <phoneticPr fontId="1"/>
  </si>
  <si>
    <t>ability1_cond_arg1_</t>
    <phoneticPr fontId="1"/>
  </si>
  <si>
    <t>ability1_cond_arg2_</t>
    <phoneticPr fontId="1"/>
  </si>
  <si>
    <t>ability1_</t>
    <phoneticPr fontId="1"/>
  </si>
  <si>
    <t>ability1_arg1_</t>
    <phoneticPr fontId="1"/>
  </si>
  <si>
    <t>ability1_arg2_</t>
    <phoneticPr fontId="1"/>
  </si>
  <si>
    <t>ability2_cond_</t>
    <phoneticPr fontId="1"/>
  </si>
  <si>
    <t>ability2_cond_arg1_</t>
    <phoneticPr fontId="1"/>
  </si>
  <si>
    <t>ability2_cond_arg2_</t>
    <phoneticPr fontId="1"/>
  </si>
  <si>
    <t>ability2_</t>
    <phoneticPr fontId="1"/>
  </si>
  <si>
    <t>ability2_arg1_</t>
    <phoneticPr fontId="1"/>
  </si>
  <si>
    <t>ability2_arg2_</t>
    <phoneticPr fontId="1"/>
  </si>
  <si>
    <t>ability3_cond_</t>
    <phoneticPr fontId="1"/>
  </si>
  <si>
    <t>ability3_cond_arg1_</t>
    <phoneticPr fontId="1"/>
  </si>
  <si>
    <t>ability3_cond_arg2_</t>
    <phoneticPr fontId="1"/>
  </si>
  <si>
    <t>ability3_</t>
    <phoneticPr fontId="1"/>
  </si>
  <si>
    <t>ability3_arg1_</t>
    <phoneticPr fontId="1"/>
  </si>
  <si>
    <t>ability3_arg2_</t>
    <phoneticPr fontId="1"/>
  </si>
  <si>
    <t>汎用</t>
    <rPh sb="0" eb="2">
      <t>ハンヨウ</t>
    </rPh>
    <phoneticPr fontId="1"/>
  </si>
  <si>
    <t>text_rule.xlsm</t>
    <phoneticPr fontId="1"/>
  </si>
  <si>
    <t>CARD_COMMON1</t>
    <phoneticPr fontId="1"/>
  </si>
  <si>
    <t>CARD_COMMON2</t>
    <phoneticPr fontId="1"/>
  </si>
  <si>
    <t>CARD_COMMON3</t>
  </si>
  <si>
    <t>CARD_COMMON4</t>
  </si>
  <si>
    <t>CARD_COMMON5</t>
  </si>
  <si>
    <t>CARD_COMMON6</t>
  </si>
  <si>
    <t>CARD_COMMON7</t>
  </si>
  <si>
    <t>CARD_COMMON8</t>
  </si>
  <si>
    <t>CARD_COMMON9</t>
  </si>
  <si>
    <t>CARD_COMMON10</t>
  </si>
  <si>
    <t>攻撃力</t>
    <rPh sb="0" eb="3">
      <t>コウゲキリョク</t>
    </rPh>
    <phoneticPr fontId="1"/>
  </si>
  <si>
    <t>守備力</t>
    <rPh sb="0" eb="3">
      <t>シュビリョク</t>
    </rPh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</si>
  <si>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</si>
  <si>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</si>
  <si>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レベル</t>
    <phoneticPr fontId="1"/>
  </si>
  <si>
    <t>タイプ</t>
    <phoneticPr fontId="1"/>
  </si>
  <si>
    <t>タイプ詳細</t>
    <rPh sb="3" eb="5">
      <t>ショウサイ</t>
    </rPh>
    <phoneticPr fontId="1"/>
  </si>
  <si>
    <t>class_</t>
    <phoneticPr fontId="1"/>
  </si>
  <si>
    <t>detail_class_</t>
    <phoneticPr fontId="1"/>
  </si>
  <si>
    <t>text_rule.xlsm</t>
    <phoneticPr fontId="1"/>
  </si>
  <si>
    <t>CARD_TYPE1</t>
    <phoneticPr fontId="1"/>
  </si>
  <si>
    <t>CARD_TYPE2</t>
    <phoneticPr fontId="1"/>
  </si>
  <si>
    <t>CARD_TYPE3</t>
  </si>
  <si>
    <t>CARD_TYPE4</t>
  </si>
  <si>
    <t>CARD_TYPE5</t>
  </si>
  <si>
    <t>CARD_TYPE6</t>
  </si>
  <si>
    <t>CARD_TYPE7</t>
  </si>
  <si>
    <t>CARD_TYPE8</t>
  </si>
  <si>
    <t>CARD_TYPE9</t>
  </si>
  <si>
    <t>CARD_TYPE10</t>
  </si>
  <si>
    <t>闇属性</t>
    <rPh sb="0" eb="3">
      <t>ヤミゾクセイ</t>
    </rPh>
    <phoneticPr fontId="1"/>
  </si>
  <si>
    <t>光属性</t>
    <rPh sb="0" eb="3">
      <t>ヒカリゾクセイ</t>
    </rPh>
    <phoneticPr fontId="1"/>
  </si>
  <si>
    <t>地属性</t>
    <rPh sb="0" eb="1">
      <t>チ</t>
    </rPh>
    <rPh sb="1" eb="3">
      <t>ゾクセイ</t>
    </rPh>
    <phoneticPr fontId="1"/>
  </si>
  <si>
    <t>水属性</t>
    <rPh sb="0" eb="3">
      <t>ミズゾクセイ</t>
    </rPh>
    <phoneticPr fontId="1"/>
  </si>
  <si>
    <t>炎属性</t>
    <rPh sb="0" eb="1">
      <t>ホノオ</t>
    </rPh>
    <rPh sb="1" eb="3">
      <t>ゾクセイ</t>
    </rPh>
    <phoneticPr fontId="1"/>
  </si>
  <si>
    <t>風属性</t>
    <rPh sb="0" eb="1">
      <t>カゼ</t>
    </rPh>
    <rPh sb="1" eb="3">
      <t>ゾクセイ</t>
    </rPh>
    <phoneticPr fontId="1"/>
  </si>
  <si>
    <t>神属性</t>
    <rPh sb="0" eb="1">
      <t>カミ</t>
    </rPh>
    <rPh sb="1" eb="3">
      <t>ゾクセイ</t>
    </rPh>
    <phoneticPr fontId="1"/>
  </si>
  <si>
    <t>CARD_RACE1</t>
    <phoneticPr fontId="1"/>
  </si>
  <si>
    <t>CARD_RACE2</t>
    <phoneticPr fontId="1"/>
  </si>
  <si>
    <t>CARD_RACE3</t>
  </si>
  <si>
    <t>CARD_RACE4</t>
  </si>
  <si>
    <t>CARD_RACE5</t>
  </si>
  <si>
    <t>CARD_RACE6</t>
  </si>
  <si>
    <t>CARD_RACE7</t>
  </si>
  <si>
    <t>CARD_RACE8</t>
  </si>
  <si>
    <t>CARD_RACE9</t>
  </si>
  <si>
    <t>CARD_RACE10</t>
  </si>
  <si>
    <t>CARD_RACE11</t>
  </si>
  <si>
    <t>CARD_RACE12</t>
  </si>
  <si>
    <t>CARD_RACE13</t>
  </si>
  <si>
    <t>CARD_RACE14</t>
  </si>
  <si>
    <t>CARD_RACE15</t>
  </si>
  <si>
    <t>CARD_RACE16</t>
  </si>
  <si>
    <t>CARD_RACE17</t>
  </si>
  <si>
    <t>CARD_RACE18</t>
  </si>
  <si>
    <t>CARD_RACE19</t>
  </si>
  <si>
    <t>CARD_RACE20</t>
  </si>
  <si>
    <t>CARD_RACE21</t>
  </si>
  <si>
    <t>CARD_RACE22</t>
  </si>
  <si>
    <t>CARD_RACE23</t>
  </si>
  <si>
    <t>CARD_RACE24</t>
  </si>
  <si>
    <t>CARD_RACE25</t>
  </si>
  <si>
    <t>CARD_RACE26</t>
  </si>
  <si>
    <t>CARD_RACE27</t>
  </si>
  <si>
    <t>CARD_RACE28</t>
  </si>
  <si>
    <t>CARD_RACE29</t>
  </si>
  <si>
    <t>CARD_RACE30</t>
  </si>
  <si>
    <t>魔法使い族</t>
    <rPh sb="0" eb="3">
      <t>マホウツカ</t>
    </rPh>
    <rPh sb="4" eb="5">
      <t>ゾク</t>
    </rPh>
    <phoneticPr fontId="1"/>
  </si>
  <si>
    <t>ドラゴン族</t>
    <rPh sb="4" eb="5">
      <t>ゾク</t>
    </rPh>
    <phoneticPr fontId="1"/>
  </si>
  <si>
    <t>アンデット族</t>
    <rPh sb="5" eb="6">
      <t>ゾク</t>
    </rPh>
    <phoneticPr fontId="1"/>
  </si>
  <si>
    <t>戦士族</t>
    <rPh sb="0" eb="2">
      <t>センシ</t>
    </rPh>
    <rPh sb="2" eb="3">
      <t>ゾク</t>
    </rPh>
    <phoneticPr fontId="1"/>
  </si>
  <si>
    <t>獣戦士族</t>
    <rPh sb="0" eb="1">
      <t>ケモノ</t>
    </rPh>
    <rPh sb="1" eb="3">
      <t>センシ</t>
    </rPh>
    <rPh sb="3" eb="4">
      <t>ゾク</t>
    </rPh>
    <phoneticPr fontId="1"/>
  </si>
  <si>
    <t>獣族</t>
    <rPh sb="0" eb="1">
      <t>ケモノ</t>
    </rPh>
    <rPh sb="1" eb="2">
      <t>ゾク</t>
    </rPh>
    <phoneticPr fontId="1"/>
  </si>
  <si>
    <t>鳥獣族</t>
    <rPh sb="0" eb="1">
      <t>トリ</t>
    </rPh>
    <rPh sb="1" eb="2">
      <t>ケモノ</t>
    </rPh>
    <rPh sb="2" eb="3">
      <t>ゾク</t>
    </rPh>
    <phoneticPr fontId="1"/>
  </si>
  <si>
    <t>悪魔族</t>
    <rPh sb="0" eb="3">
      <t>アクマゾク</t>
    </rPh>
    <phoneticPr fontId="1"/>
  </si>
  <si>
    <t>天使族</t>
    <rPh sb="0" eb="3">
      <t>テンシゾク</t>
    </rPh>
    <phoneticPr fontId="1"/>
  </si>
  <si>
    <t>昆虫族</t>
    <rPh sb="0" eb="3">
      <t>コンチュウゾク</t>
    </rPh>
    <phoneticPr fontId="1"/>
  </si>
  <si>
    <t>恐竜族</t>
    <rPh sb="0" eb="3">
      <t>キョウリュウゾク</t>
    </rPh>
    <phoneticPr fontId="1"/>
  </si>
  <si>
    <t>爬虫類族</t>
    <rPh sb="0" eb="4">
      <t>ハチュウルイゾク</t>
    </rPh>
    <phoneticPr fontId="1"/>
  </si>
  <si>
    <t>魚族</t>
    <rPh sb="0" eb="2">
      <t>サカナゾク</t>
    </rPh>
    <phoneticPr fontId="1"/>
  </si>
  <si>
    <t>海竜族</t>
    <rPh sb="0" eb="1">
      <t>ウミ</t>
    </rPh>
    <rPh sb="1" eb="2">
      <t>リュウ</t>
    </rPh>
    <rPh sb="2" eb="3">
      <t>ゾク</t>
    </rPh>
    <phoneticPr fontId="1"/>
  </si>
  <si>
    <t>水族</t>
    <rPh sb="0" eb="2">
      <t>ミズゾク</t>
    </rPh>
    <phoneticPr fontId="1"/>
  </si>
  <si>
    <t>炎族</t>
    <rPh sb="0" eb="2">
      <t>ホノオゾク</t>
    </rPh>
    <phoneticPr fontId="1"/>
  </si>
  <si>
    <t>雷族</t>
    <rPh sb="0" eb="1">
      <t>カミナリ</t>
    </rPh>
    <rPh sb="1" eb="2">
      <t>ゾク</t>
    </rPh>
    <phoneticPr fontId="1"/>
  </si>
  <si>
    <t>岩石族</t>
    <rPh sb="0" eb="2">
      <t>ガンセキ</t>
    </rPh>
    <rPh sb="2" eb="3">
      <t>ゾク</t>
    </rPh>
    <phoneticPr fontId="1"/>
  </si>
  <si>
    <t>植物族</t>
    <rPh sb="0" eb="3">
      <t>ショクブツゾク</t>
    </rPh>
    <phoneticPr fontId="1"/>
  </si>
  <si>
    <t>機械族</t>
    <rPh sb="0" eb="3">
      <t>キカイゾク</t>
    </rPh>
    <phoneticPr fontId="1"/>
  </si>
  <si>
    <t>サイキック族</t>
    <rPh sb="5" eb="6">
      <t>ゾク</t>
    </rPh>
    <phoneticPr fontId="1"/>
  </si>
  <si>
    <t>幻竜族</t>
    <rPh sb="0" eb="1">
      <t>マボロシ</t>
    </rPh>
    <rPh sb="1" eb="2">
      <t>リュウ</t>
    </rPh>
    <rPh sb="2" eb="3">
      <t>ゾク</t>
    </rPh>
    <phoneticPr fontId="1"/>
  </si>
  <si>
    <t>サイバース族</t>
    <rPh sb="5" eb="6">
      <t>ゾク</t>
    </rPh>
    <phoneticPr fontId="1"/>
  </si>
  <si>
    <t>幻想魔族</t>
    <rPh sb="0" eb="2">
      <t>ゲンソウ</t>
    </rPh>
    <rPh sb="2" eb="4">
      <t>マゾク</t>
    </rPh>
    <phoneticPr fontId="1"/>
  </si>
  <si>
    <t>幻神獣族</t>
    <rPh sb="0" eb="1">
      <t>マボロシ</t>
    </rPh>
    <rPh sb="1" eb="2">
      <t>カミ</t>
    </rPh>
    <rPh sb="2" eb="3">
      <t>ケモノ</t>
    </rPh>
    <rPh sb="3" eb="4">
      <t>ゾク</t>
    </rPh>
    <phoneticPr fontId="1"/>
  </si>
  <si>
    <t>創造神族</t>
    <rPh sb="0" eb="2">
      <t>ソウゾウ</t>
    </rPh>
    <rPh sb="2" eb="3">
      <t>カミ</t>
    </rPh>
    <rPh sb="3" eb="4">
      <t>ゾク</t>
    </rPh>
    <phoneticPr fontId="1"/>
  </si>
  <si>
    <t>ルール：</t>
    <phoneticPr fontId="1"/>
  </si>
  <si>
    <t>通常モンスター</t>
    <phoneticPr fontId="1"/>
  </si>
  <si>
    <t>ルールによる永続</t>
    <phoneticPr fontId="1"/>
  </si>
  <si>
    <t>このカードは【引数1】としても扱う</t>
    <phoneticPr fontId="1"/>
  </si>
  <si>
    <t>強欲な壺</t>
    <phoneticPr fontId="1"/>
  </si>
  <si>
    <t>魔法</t>
    <phoneticPr fontId="1"/>
  </si>
  <si>
    <t>通常魔法</t>
    <phoneticPr fontId="1"/>
  </si>
  <si>
    <t>自分フィールドに【引数1】属性かつ【引数2】種族のモンスターがいるとき</t>
    <phoneticPr fontId="1"/>
  </si>
  <si>
    <t>カードを【引数1】枚ドローする</t>
    <phoneticPr fontId="1"/>
  </si>
  <si>
    <t>通常罠</t>
    <phoneticPr fontId="1"/>
  </si>
  <si>
    <t>備考</t>
    <rPh sb="0" eb="2">
      <t>ビコウ</t>
    </rPh>
    <phoneticPr fontId="1"/>
  </si>
  <si>
    <t>yugioh</t>
    <phoneticPr fontId="1"/>
  </si>
  <si>
    <t>CARD_CLASS1</t>
    <phoneticPr fontId="1"/>
  </si>
  <si>
    <t>CARD_CLASS2</t>
    <phoneticPr fontId="1"/>
  </si>
  <si>
    <t>CARD_CLASS3</t>
  </si>
  <si>
    <t>CARD_CLASS4</t>
  </si>
  <si>
    <t>CARD_CLASS5</t>
  </si>
  <si>
    <t>CARD_CLASS6</t>
  </si>
  <si>
    <t>CARD_CLASS7</t>
  </si>
  <si>
    <t>CARD_CLASS8</t>
  </si>
  <si>
    <t>CARD_CLASS9</t>
  </si>
  <si>
    <t>CARD_CLASS10</t>
  </si>
  <si>
    <t>罠</t>
    <rPh sb="0" eb="1">
      <t>ワナ</t>
    </rPh>
    <phoneticPr fontId="1"/>
  </si>
  <si>
    <t>魔法</t>
    <rPh sb="0" eb="2">
      <t>マホウ</t>
    </rPh>
    <phoneticPr fontId="1"/>
  </si>
  <si>
    <t>CARD_DETAILCLASS1</t>
    <phoneticPr fontId="1"/>
  </si>
  <si>
    <t>CARD_DETAILCLASS2</t>
    <phoneticPr fontId="1"/>
  </si>
  <si>
    <t>CARD_DETAILCLASS3</t>
  </si>
  <si>
    <t>CARD_DETAILCLASS4</t>
  </si>
  <si>
    <t>CARD_DETAILCLASS5</t>
  </si>
  <si>
    <t>CARD_DETAILCLASS6</t>
  </si>
  <si>
    <t>CARD_DETAILCLASS7</t>
  </si>
  <si>
    <t>CARD_DETAILCLASS8</t>
  </si>
  <si>
    <t>CARD_DETAILCLASS9</t>
  </si>
  <si>
    <t>CARD_DETAILCLASS10</t>
  </si>
  <si>
    <t>CARD_DETAILCLASS11</t>
  </si>
  <si>
    <t>CARD_DETAILCLASS12</t>
  </si>
  <si>
    <t>CARD_DETAILCLASS13</t>
  </si>
  <si>
    <t>CARD_DETAILCLASS14</t>
  </si>
  <si>
    <t>CARD_DETAILCLASS15</t>
  </si>
  <si>
    <t>CARD_DETAILCLASS16</t>
  </si>
  <si>
    <t>CARD_DETAILCLASS17</t>
  </si>
  <si>
    <t>CARD_DETAILCLASS18</t>
  </si>
  <si>
    <t>CARD_DETAILCLASS19</t>
  </si>
  <si>
    <t>CARD_DETAILCLASS20</t>
  </si>
  <si>
    <t>通常モンスター</t>
    <rPh sb="0" eb="2">
      <t>ツウジョウ</t>
    </rPh>
    <phoneticPr fontId="1"/>
  </si>
  <si>
    <t>効果モンスター</t>
    <rPh sb="0" eb="2">
      <t>コウカ</t>
    </rPh>
    <phoneticPr fontId="1"/>
  </si>
  <si>
    <t>通常魔法</t>
    <rPh sb="0" eb="4">
      <t>ツウジョウマホウ</t>
    </rPh>
    <phoneticPr fontId="1"/>
  </si>
  <si>
    <t>永続魔法</t>
    <rPh sb="0" eb="4">
      <t>エイゾクマホウ</t>
    </rPh>
    <phoneticPr fontId="1"/>
  </si>
  <si>
    <t>速攻魔法</t>
    <rPh sb="0" eb="4">
      <t>ソッコウマホウ</t>
    </rPh>
    <phoneticPr fontId="1"/>
  </si>
  <si>
    <t>フィールド魔法</t>
    <rPh sb="5" eb="7">
      <t>マホウ</t>
    </rPh>
    <phoneticPr fontId="1"/>
  </si>
  <si>
    <t>儀式魔法</t>
    <rPh sb="0" eb="4">
      <t>ギシキマホウ</t>
    </rPh>
    <phoneticPr fontId="1"/>
  </si>
  <si>
    <t>装備魔法</t>
    <rPh sb="0" eb="4">
      <t>ソウビマホウ</t>
    </rPh>
    <phoneticPr fontId="1"/>
  </si>
  <si>
    <t>通常罠</t>
    <rPh sb="0" eb="3">
      <t>ツウジョウワナ</t>
    </rPh>
    <phoneticPr fontId="1"/>
  </si>
  <si>
    <t>永続罠</t>
    <rPh sb="0" eb="3">
      <t>エイゾクワナ</t>
    </rPh>
    <phoneticPr fontId="1"/>
  </si>
  <si>
    <t>カウンター罠</t>
    <rPh sb="5" eb="6">
      <t>ワナ</t>
    </rPh>
    <phoneticPr fontId="1"/>
  </si>
  <si>
    <t>儀式モンスター</t>
    <rPh sb="0" eb="2">
      <t>ギシキ</t>
    </rPh>
    <phoneticPr fontId="1"/>
  </si>
  <si>
    <t>CARD_TYPE11</t>
  </si>
  <si>
    <t>CARD_TYPE12</t>
  </si>
  <si>
    <t>CARD_TYPE13</t>
  </si>
  <si>
    <t>CARD_TYPE14</t>
  </si>
  <si>
    <t>CARD_TYPE15</t>
  </si>
  <si>
    <t>CARD_TYPE16</t>
  </si>
  <si>
    <t>CARD_TYPE17</t>
  </si>
  <si>
    <t>CARD_TYPE18</t>
  </si>
  <si>
    <t>CARD_TYPE19</t>
  </si>
  <si>
    <t>CARD_TYPE20</t>
  </si>
  <si>
    <t>闇属性</t>
    <phoneticPr fontId="1"/>
  </si>
  <si>
    <t>魔法使い族</t>
    <phoneticPr fontId="1"/>
  </si>
  <si>
    <t>ドラゴン族</t>
    <phoneticPr fontId="1"/>
  </si>
  <si>
    <t>落とし穴</t>
    <phoneticPr fontId="1"/>
  </si>
  <si>
    <t>罠</t>
    <phoneticPr fontId="1"/>
  </si>
  <si>
    <t>タイプ詳細</t>
    <rPh sb="3" eb="5">
      <t>ショウサイ</t>
    </rPh>
    <phoneticPr fontId="1"/>
  </si>
  <si>
    <t>一つ目の巨人。太い腕で殴りかかってくる。要注意。</t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</si>
  <si>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</si>
  <si>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</si>
  <si>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</si>
  <si>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</si>
  <si>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１３人目の埋葬者</t>
    <phoneticPr fontId="1"/>
  </si>
  <si>
    <t>仮面道化</t>
    <phoneticPr fontId="1"/>
  </si>
  <si>
    <t>キーメイス</t>
    <phoneticPr fontId="1"/>
  </si>
  <si>
    <t>北風と太陽</t>
    <phoneticPr fontId="1"/>
  </si>
  <si>
    <t>キング・スモーク</t>
    <phoneticPr fontId="1"/>
  </si>
  <si>
    <t>深淵の冥王</t>
    <phoneticPr fontId="1"/>
  </si>
  <si>
    <t>悟りの老樹</t>
    <phoneticPr fontId="1"/>
  </si>
  <si>
    <t>ジャグラー</t>
    <phoneticPr fontId="1"/>
  </si>
  <si>
    <t>アクア・マドール</t>
    <phoneticPr fontId="1"/>
  </si>
  <si>
    <t>シャドウ・ファイター</t>
    <phoneticPr fontId="1"/>
  </si>
  <si>
    <t>ウォー・アース</t>
    <phoneticPr fontId="1"/>
  </si>
  <si>
    <t>地獄の裁判</t>
    <phoneticPr fontId="1"/>
  </si>
  <si>
    <t>スティング</t>
    <phoneticPr fontId="1"/>
  </si>
  <si>
    <t>スリーピィ</t>
    <phoneticPr fontId="1"/>
  </si>
  <si>
    <t>ダーク・プリズナー</t>
    <phoneticPr fontId="1"/>
  </si>
  <si>
    <t>チェンジ・スライム</t>
    <phoneticPr fontId="1"/>
  </si>
  <si>
    <t>二つの口を持つ闇の支配者</t>
    <phoneticPr fontId="1"/>
  </si>
  <si>
    <t>月の女神 エルザェム</t>
    <phoneticPr fontId="1"/>
  </si>
  <si>
    <t>タートル・タイガー</t>
    <phoneticPr fontId="1"/>
  </si>
  <si>
    <t>伝説の剣豪 ＭＡＳＡＫＩ</t>
    <phoneticPr fontId="1"/>
  </si>
  <si>
    <t>時の魔人 ネクロランサ</t>
    <phoneticPr fontId="1"/>
  </si>
  <si>
    <t>なぞの手</t>
    <phoneticPr fontId="1"/>
  </si>
  <si>
    <t>昆虫人間</t>
    <phoneticPr fontId="1"/>
  </si>
  <si>
    <t>デビルツムリ</t>
    <phoneticPr fontId="1"/>
  </si>
  <si>
    <t>デビル・スネーク</t>
    <phoneticPr fontId="1"/>
  </si>
  <si>
    <t>エルフの剣士</t>
    <phoneticPr fontId="1"/>
  </si>
  <si>
    <t>はさみ撃ち</t>
    <phoneticPr fontId="1"/>
  </si>
  <si>
    <t>ドラゴン族・封印の壺</t>
    <phoneticPr fontId="1"/>
  </si>
  <si>
    <t>罠はずし</t>
    <phoneticPr fontId="1"/>
  </si>
  <si>
    <t>融合</t>
    <phoneticPr fontId="1"/>
  </si>
  <si>
    <t>闇</t>
    <phoneticPr fontId="1"/>
  </si>
  <si>
    <t>山</t>
    <phoneticPr fontId="1"/>
  </si>
  <si>
    <t>森</t>
    <phoneticPr fontId="1"/>
  </si>
  <si>
    <t>モウヤンのカレー</t>
    <phoneticPr fontId="1"/>
  </si>
  <si>
    <t>ファイヤー・ボール</t>
    <phoneticPr fontId="1"/>
  </si>
  <si>
    <t>草原</t>
    <phoneticPr fontId="1"/>
  </si>
  <si>
    <t>サンダー・ボルト</t>
    <phoneticPr fontId="1"/>
  </si>
  <si>
    <t>荒野</t>
    <phoneticPr fontId="1"/>
  </si>
  <si>
    <t>海</t>
    <phoneticPr fontId="1"/>
  </si>
  <si>
    <t>炎の剣士</t>
    <phoneticPr fontId="1"/>
  </si>
  <si>
    <t>炎の騎士 キラー</t>
    <phoneticPr fontId="1"/>
  </si>
  <si>
    <t>フレイム・ゴースト</t>
    <phoneticPr fontId="1"/>
  </si>
  <si>
    <t>フュージョニスト</t>
    <phoneticPr fontId="1"/>
  </si>
  <si>
    <t>暗黒火炎龍</t>
    <phoneticPr fontId="1"/>
  </si>
  <si>
    <t>青眼の白龍</t>
    <phoneticPr fontId="1"/>
  </si>
  <si>
    <t>ワイト</t>
    <phoneticPr fontId="1"/>
  </si>
  <si>
    <t>ルート・ウォーター</t>
    <phoneticPr fontId="1"/>
  </si>
  <si>
    <t>緑樹の霊王</t>
    <phoneticPr fontId="1"/>
  </si>
  <si>
    <t>モンスタートル</t>
    <phoneticPr fontId="1"/>
  </si>
  <si>
    <t>モンスター・エッグ</t>
    <phoneticPr fontId="1"/>
  </si>
  <si>
    <t>ミラージュ</t>
    <phoneticPr fontId="1"/>
  </si>
  <si>
    <t>魔人銃</t>
    <phoneticPr fontId="1"/>
  </si>
  <si>
    <t>マグマン</t>
    <phoneticPr fontId="1"/>
  </si>
  <si>
    <t>マウンテン・ウォーリアー</t>
    <phoneticPr fontId="1"/>
  </si>
  <si>
    <t>炎を操る者</t>
    <phoneticPr fontId="1"/>
  </si>
  <si>
    <t>ヘルバウンド</t>
    <phoneticPr fontId="1"/>
  </si>
  <si>
    <t>死のおどりを踊りながら、手にするカマで相手を切りきざむ戦士。</t>
  </si>
  <si>
    <t>岩石が集まってできたゴーレム。相手を石化して破壊する。　</t>
    <phoneticPr fontId="1"/>
  </si>
  <si>
    <t>誰もいないはずの１３番目の墓から突然現れたゾンビ。</t>
    <phoneticPr fontId="1"/>
  </si>
  <si>
    <t>とても小さな天使。かわいらしさに負け、誰でも心を開いてしまう。</t>
    <phoneticPr fontId="1"/>
  </si>
  <si>
    <t>仲の良い北風と太陽。かまいたちと熱光線で攻撃。</t>
    <phoneticPr fontId="1"/>
  </si>
  <si>
    <t>煙の中にひそむ悪魔。まわりを煙でおおい、見えなくしてしまう。</t>
    <phoneticPr fontId="1"/>
  </si>
  <si>
    <t>冥界の王。かつて闇を全て支配するほどの力があったという。</t>
    <phoneticPr fontId="1"/>
  </si>
  <si>
    <t>ありとあらゆる知識を駆使して、様々な攻撃を防ぐ。</t>
    <phoneticPr fontId="1"/>
  </si>
  <si>
    <t>手品のような魔法で敵を倒す。ハトを出して攻撃もする。</t>
    <phoneticPr fontId="1"/>
  </si>
  <si>
    <t>水をあやつる魔法使い。分厚い水の壁をつくり敵を押しつぶす。</t>
    <phoneticPr fontId="1"/>
  </si>
  <si>
    <t>実体と影に分かれて襲ってくる。油断すると挟まれるぞ。</t>
    <phoneticPr fontId="1"/>
  </si>
  <si>
    <t>敵を棺桶に閉じこめ、地獄の使いがグサリと判決を下す。</t>
    <phoneticPr fontId="1"/>
  </si>
  <si>
    <t>ものすごく熱い炎のかたまり。その体で体当たりしてくる。</t>
    <phoneticPr fontId="1"/>
  </si>
  <si>
    <t>しっぽの長いひつじ。しっぽを使い催眠術をかけ、睡魔を誘う。</t>
    <phoneticPr fontId="1"/>
  </si>
  <si>
    <t>光の反射を巧みに操り、自分の姿を隠すことができる。</t>
    <phoneticPr fontId="1"/>
  </si>
  <si>
    <t>形を自由に変え、様々なものに変身するスライム。</t>
    <phoneticPr fontId="1"/>
  </si>
  <si>
    <t>口が二つある恐竜。ツノに蓄電し、背中の口から放電する。</t>
    <phoneticPr fontId="1"/>
  </si>
  <si>
    <t>月を守護するきれいな女神。月あかりのカーテンで攻撃を防ぐ。</t>
    <phoneticPr fontId="1"/>
  </si>
  <si>
    <t>目が一つしかないヘビ。冷気をはき出し、相手を氷づけにする。</t>
    <phoneticPr fontId="1"/>
  </si>
  <si>
    <t>闇の力で進化したカタツムリ。手や足があり、速く動ける。</t>
    <phoneticPr fontId="1"/>
  </si>
  <si>
    <t>甲羅を持ったトラ。硬い甲羅で身を守り、鋭いキバで攻撃する。</t>
    <phoneticPr fontId="1"/>
  </si>
  <si>
    <t>百人斬りを成しとげたといわれる、伝説の剣豪。</t>
    <phoneticPr fontId="1"/>
  </si>
  <si>
    <t>好きな所へ行けるという時空リングから出てくる、一つ目の魔人。</t>
    <phoneticPr fontId="1"/>
  </si>
  <si>
    <t>空間をゆがませ、次元のはざまから腕をのばし攻撃をしかける。</t>
    <phoneticPr fontId="1"/>
  </si>
  <si>
    <t>群をなして暮らす昆虫。森の中は彼らの楽園だ。</t>
    <phoneticPr fontId="1"/>
  </si>
  <si>
    <t>荒野に現れるけものの亡霊。数が集まるとやっかいなカード。</t>
    <phoneticPr fontId="1"/>
  </si>
  <si>
    <t>炎の海や炎の壁を自在につくり出し攻撃する。</t>
    <phoneticPr fontId="1"/>
  </si>
  <si>
    <t>足場の悪い所でもガンガン動きまわる頑丈な戦士。</t>
    <phoneticPr fontId="1"/>
  </si>
  <si>
    <t>マグマの中から生まれたモンスター。ものすごい熱で近づくものは溶ける。</t>
    <phoneticPr fontId="1"/>
  </si>
  <si>
    <t>口から弾を発射して攻撃する生物兵器。</t>
    <phoneticPr fontId="1"/>
  </si>
  <si>
    <t>手にする鏡から仲間を呼び出すことのできる鳥のけもの。</t>
    <phoneticPr fontId="1"/>
  </si>
  <si>
    <t>トゲのついたこうらを身につけたカメ。とても凶暴で人になつかない。</t>
    <phoneticPr fontId="1"/>
  </si>
  <si>
    <t>青々と生い茂る木に囲まれて暮らす。森を治める若き王。</t>
    <phoneticPr fontId="1"/>
  </si>
  <si>
    <t>海にひそむ半魚人。暗黒の大津波を起こして攻撃する。</t>
    <phoneticPr fontId="1"/>
  </si>
  <si>
    <t>どこにでも出てくるガイコツのおばけ。攻撃は弱いが集まると大変。</t>
    <phoneticPr fontId="1"/>
  </si>
  <si>
    <t>高い攻撃力を誇る伝説のドラゴン。どんな相手でも粉砕する、その破壊力は計り知れない。</t>
    <phoneticPr fontId="1"/>
  </si>
  <si>
    <t>「火炎草」＋「プチリュウ」</t>
    <phoneticPr fontId="1"/>
  </si>
  <si>
    <t>「プチテンシ」＋「スリーピィ」</t>
    <phoneticPr fontId="1"/>
  </si>
  <si>
    <t>「ワイト」＋「マグマン」</t>
    <phoneticPr fontId="1"/>
  </si>
  <si>
    <t>「モンスター・エッグ」＋「スティング」</t>
    <phoneticPr fontId="1"/>
  </si>
  <si>
    <t>「炎を操る者」＋「伝説の剣豪ＭＡＳＡＫＩ」</t>
    <phoneticPr fontId="1"/>
  </si>
  <si>
    <t>全ての魚・海竜・雷・水族モンスターの攻撃力と守備力は、２００ポイントアップする。機械・炎族モンスターの攻撃力と守備力は、２００ポイントダウンする。</t>
    <phoneticPr fontId="1"/>
  </si>
  <si>
    <t>全ての恐竜・アンデット・岩石族モンスターの攻撃力と守備力は、２００ポイントアップする。</t>
    <phoneticPr fontId="1"/>
  </si>
  <si>
    <t>相手フィールド上に存在する全てのモンスターを破壊する。</t>
    <phoneticPr fontId="1"/>
  </si>
  <si>
    <t>全ての戦士・獣戦士族モンスターの攻撃力と守備力は、２００ポイントアップする。</t>
    <phoneticPr fontId="1"/>
  </si>
  <si>
    <t>相手ライフに５００ポイントダメージを与える。</t>
    <phoneticPr fontId="1"/>
  </si>
  <si>
    <t>ライフポイントを２００ポイント回復する。</t>
    <phoneticPr fontId="1"/>
  </si>
  <si>
    <t>全ての昆虫・植物・獣・獣戦士族モンスターの攻撃力と守備力は、２００ポイントアップする。</t>
    <phoneticPr fontId="1"/>
  </si>
  <si>
    <t>フィールド上に表側表示で存在するドラゴン族・鳥獣族・雷族モンスターの攻撃力・守備力は２００ポイントアップする。</t>
    <phoneticPr fontId="1"/>
  </si>
  <si>
    <t>フィールド上に表側表示で存在する悪魔族・魔法使い族モンスターの攻撃力・守備力は２００ポイントアップする。フィールド上に表側表示で存在する天使族モンスターの攻撃力・守備力は２００ポイントダウンする。</t>
    <phoneticPr fontId="1"/>
  </si>
  <si>
    <t>手札・自分フィールド上から、融合モンスターカードによって決められた融合素材モンスターを墓地へ送り、その融合モンスター１体をエクストラデッキから特殊召喚する。</t>
    <phoneticPr fontId="1"/>
  </si>
  <si>
    <t>表側表示でフィールド上に存在する罠カードを１枚選択して破壊する。</t>
    <phoneticPr fontId="1"/>
  </si>
  <si>
    <t>このカードがフィールド上に存在する限り、全ての表側表示ドラゴン族モンスターは表側守備表示になり、その後表示形式変更を行う事はできない。</t>
    <phoneticPr fontId="1"/>
  </si>
  <si>
    <t>剣術を学んだエルフ。素早い攻撃で敵を翻弄する。</t>
    <phoneticPr fontId="1"/>
  </si>
  <si>
    <t>自分フィールド上に存在するモンスター２体と相手フィールド上に存在するモンスター１体を選択して破壊する。</t>
    <phoneticPr fontId="1"/>
  </si>
  <si>
    <t>卵のカラに身を包んだ謎の戦士。カラを飛ばして攻撃する。</t>
    <phoneticPr fontId="1"/>
  </si>
  <si>
    <t>光属性</t>
    <phoneticPr fontId="1"/>
  </si>
  <si>
    <t>ability_database.xlsm</t>
    <phoneticPr fontId="1"/>
  </si>
  <si>
    <t>effect_database.xlsm</t>
    <phoneticPr fontId="1"/>
  </si>
  <si>
    <t>condition_database.xlsm</t>
    <phoneticPr fontId="1"/>
  </si>
  <si>
    <t>条件ID</t>
    <rPh sb="0" eb="2">
      <t>ジョウケン</t>
    </rPh>
    <phoneticPr fontId="1"/>
  </si>
  <si>
    <t>効果ID</t>
    <rPh sb="0" eb="2">
      <t>コウカ</t>
    </rPh>
    <phoneticPr fontId="1"/>
  </si>
  <si>
    <t>わざID</t>
    <phoneticPr fontId="1"/>
  </si>
  <si>
    <t>フェイズ開始時強制的に</t>
    <rPh sb="4" eb="7">
      <t>カイシジ</t>
    </rPh>
    <rPh sb="7" eb="10">
      <t>キョウセイテキ</t>
    </rPh>
    <phoneticPr fontId="1"/>
  </si>
  <si>
    <t>【引数1】ターン以降ならフェイズ開始時強制的に</t>
    <rPh sb="1" eb="3">
      <t>ヒキスウ</t>
    </rPh>
    <rPh sb="8" eb="10">
      <t>イコウ</t>
    </rPh>
    <phoneticPr fontId="1"/>
  </si>
  <si>
    <t>プレイヤー側フェイズなら（【引数1】が0：すべて、1：自由操作可能期間中）</t>
  </si>
  <si>
    <t>効果発動後強制的に</t>
    <rPh sb="0" eb="5">
      <t>コウカハツドウゴ</t>
    </rPh>
    <rPh sb="5" eb="8">
      <t>キョウセイテキ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</si>
  <si>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</si>
  <si>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現在のターンを含む【引数1】ターン攻撃宣言できない</t>
  </si>
  <si>
    <t>遊戯王のわざ</t>
    <rPh sb="0" eb="3">
      <t>ユウギオウ</t>
    </rPh>
    <phoneticPr fontId="1"/>
  </si>
  <si>
    <t>わざ</t>
    <phoneticPr fontId="1"/>
  </si>
  <si>
    <t>条件</t>
    <rPh sb="0" eb="2">
      <t>ジョウケン</t>
    </rPh>
    <phoneticPr fontId="1"/>
  </si>
  <si>
    <t>効果</t>
    <rPh sb="0" eb="2">
      <t>コウカ</t>
    </rPh>
    <phoneticPr fontId="1"/>
  </si>
  <si>
    <t>わざ条件4</t>
    <rPh sb="2" eb="4">
      <t>ジョウケン</t>
    </rPh>
    <phoneticPr fontId="1"/>
  </si>
  <si>
    <t>わざ4</t>
    <phoneticPr fontId="1"/>
  </si>
  <si>
    <t>ルールによる永続</t>
  </si>
  <si>
    <t>自分フィールドに【引数1】属性かつ【引数2】種族のモンスターがいるとき</t>
  </si>
  <si>
    <t>このカードは【引数1】としても扱う</t>
    <phoneticPr fontId="1"/>
  </si>
  <si>
    <t>ability4_</t>
    <phoneticPr fontId="1"/>
  </si>
  <si>
    <t>ability4_arg1_</t>
    <phoneticPr fontId="1"/>
  </si>
  <si>
    <t>ability4_arg2_</t>
    <phoneticPr fontId="1"/>
  </si>
  <si>
    <t>ability4_cond_arg2_</t>
    <phoneticPr fontId="1"/>
  </si>
  <si>
    <t>ability4_cond_arg1_</t>
    <phoneticPr fontId="1"/>
  </si>
  <si>
    <t>ability4_cond_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</si>
</sst>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0" fontId="0" fillId="2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4" xfId="0" applyFill="1" applyBorder="1">
      <alignment vertical="center"/>
    </xf>
    <xf numFmtId="0" fontId="0" fillId="0" borderId="6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5" fillId="0" borderId="13" xfId="0" applyFont="1" applyBorder="1">
      <alignment vertical="center"/>
    </xf>
    <xf numFmtId="0" fontId="0" fillId="4" borderId="5" xfId="0" applyFill="1" applyBorder="1">
      <alignment vertical="center"/>
    </xf>
    <xf numFmtId="0" fontId="0" fillId="4" borderId="7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7" xfId="0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2</xdr:row>
          <xdr:rowOff>298450</xdr:rowOff>
        </xdr:from>
        <xdr:to>
          <xdr:col>1</xdr:col>
          <xdr:colOff>1524000</xdr:colOff>
          <xdr:row>2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2</xdr:row>
          <xdr:rowOff>285750</xdr:rowOff>
        </xdr:from>
        <xdr:to>
          <xdr:col>2</xdr:col>
          <xdr:colOff>476250</xdr:colOff>
          <xdr:row>2</xdr:row>
          <xdr:rowOff>749300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2</xdr:row>
          <xdr:rowOff>266700</xdr:rowOff>
        </xdr:from>
        <xdr:to>
          <xdr:col>3</xdr:col>
          <xdr:colOff>857250</xdr:colOff>
          <xdr:row>2</xdr:row>
          <xdr:rowOff>730250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273050</xdr:rowOff>
        </xdr:from>
        <xdr:to>
          <xdr:col>5</xdr:col>
          <xdr:colOff>762000</xdr:colOff>
          <xdr:row>2</xdr:row>
          <xdr:rowOff>736600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G65"/>
  <sheetViews>
    <sheetView tabSelected="1" zoomScale="145" zoomScaleNormal="145" workbookViewId="0"/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8.1640625" customWidth="1"/>
    <col min="4" max="4" width="14.33203125" bestFit="1" customWidth="1"/>
    <col min="5" max="5" width="12.25" bestFit="1" customWidth="1"/>
    <col min="6" max="6" width="14.33203125" bestFit="1" customWidth="1"/>
    <col min="7" max="9" width="6.75" bestFit="1" customWidth="1"/>
    <col min="10" max="10" width="10.4140625" bestFit="1" customWidth="1"/>
    <col min="11" max="11" width="6.75" bestFit="1" customWidth="1"/>
    <col min="12" max="15" width="5.9140625" bestFit="1" customWidth="1"/>
    <col min="16" max="16" width="6.83203125" bestFit="1" customWidth="1"/>
    <col min="17" max="17" width="63.1640625" customWidth="1"/>
    <col min="18" max="19" width="17.08203125" bestFit="1" customWidth="1"/>
    <col min="20" max="20" width="29.1640625" bestFit="1" customWidth="1"/>
    <col min="21" max="22" width="17.08203125" bestFit="1" customWidth="1"/>
    <col min="23" max="23" width="9.5" bestFit="1" customWidth="1"/>
    <col min="24" max="28" width="5.83203125" bestFit="1" customWidth="1"/>
    <col min="29" max="29" width="9.5" bestFit="1" customWidth="1"/>
    <col min="30" max="34" width="5.83203125" bestFit="1" customWidth="1"/>
    <col min="35" max="35" width="9.5" bestFit="1" customWidth="1"/>
    <col min="36" max="40" width="5.83203125" bestFit="1" customWidth="1"/>
    <col min="41" max="41" width="9.5" bestFit="1" customWidth="1"/>
    <col min="42" max="46" width="5.83203125" bestFit="1" customWidth="1"/>
    <col min="47" max="47" width="9.5" bestFit="1" customWidth="1"/>
    <col min="48" max="52" width="5.83203125" bestFit="1" customWidth="1"/>
    <col min="53" max="53" width="9.5" bestFit="1" customWidth="1"/>
    <col min="54" max="58" width="5.83203125" bestFit="1" customWidth="1"/>
    <col min="59" max="59" width="96.58203125" customWidth="1"/>
  </cols>
  <sheetData>
    <row r="1" spans="1:59" ht="29.5" thickBot="1" x14ac:dyDescent="0.6">
      <c r="A1" s="1" t="s">
        <v>2</v>
      </c>
      <c r="C1" s="8"/>
    </row>
    <row r="2" spans="1:59" ht="32" customHeight="1" thickBot="1" x14ac:dyDescent="0.6">
      <c r="C2" s="8" t="s">
        <v>177</v>
      </c>
      <c r="D2" s="27" t="s">
        <v>188</v>
      </c>
    </row>
    <row r="3" spans="1:59" ht="72" customHeight="1" x14ac:dyDescent="0.55000000000000004"/>
    <row r="4" spans="1:59" ht="37.5" customHeight="1" x14ac:dyDescent="0.55000000000000004">
      <c r="A4" s="2" t="s">
        <v>0</v>
      </c>
      <c r="B4" s="2" t="s">
        <v>3</v>
      </c>
      <c r="C4" s="2" t="s">
        <v>5</v>
      </c>
      <c r="D4" s="3" t="s">
        <v>10</v>
      </c>
      <c r="E4" s="3" t="s">
        <v>99</v>
      </c>
      <c r="F4" s="3" t="s">
        <v>100</v>
      </c>
      <c r="G4" s="12" t="s">
        <v>11</v>
      </c>
      <c r="H4" s="12" t="s">
        <v>12</v>
      </c>
      <c r="I4" s="12" t="s">
        <v>13</v>
      </c>
      <c r="J4" s="12" t="s">
        <v>14</v>
      </c>
      <c r="K4" s="12" t="s">
        <v>15</v>
      </c>
      <c r="L4" s="12" t="s">
        <v>16</v>
      </c>
      <c r="M4" s="12" t="s">
        <v>17</v>
      </c>
      <c r="N4" s="12" t="s">
        <v>18</v>
      </c>
      <c r="O4" s="12" t="s">
        <v>31</v>
      </c>
      <c r="P4" s="12" t="s">
        <v>32</v>
      </c>
      <c r="Q4" s="25" t="s">
        <v>27</v>
      </c>
      <c r="R4" s="26" t="s">
        <v>250</v>
      </c>
      <c r="S4" s="26" t="s">
        <v>251</v>
      </c>
      <c r="T4" s="25" t="s">
        <v>30</v>
      </c>
      <c r="U4" s="26" t="s">
        <v>250</v>
      </c>
      <c r="V4" s="26" t="s">
        <v>251</v>
      </c>
      <c r="W4" s="28" t="s">
        <v>29</v>
      </c>
      <c r="X4" s="29" t="s">
        <v>252</v>
      </c>
      <c r="Y4" s="29" t="s">
        <v>253</v>
      </c>
      <c r="Z4" s="28" t="s">
        <v>28</v>
      </c>
      <c r="AA4" s="29" t="s">
        <v>252</v>
      </c>
      <c r="AB4" s="29" t="s">
        <v>253</v>
      </c>
      <c r="AC4" s="30" t="s">
        <v>39</v>
      </c>
      <c r="AD4" s="31" t="s">
        <v>252</v>
      </c>
      <c r="AE4" s="31" t="s">
        <v>253</v>
      </c>
      <c r="AF4" s="30" t="s">
        <v>40</v>
      </c>
      <c r="AG4" s="31" t="s">
        <v>252</v>
      </c>
      <c r="AH4" s="31" t="s">
        <v>253</v>
      </c>
      <c r="AI4" s="25" t="s">
        <v>49</v>
      </c>
      <c r="AJ4" s="26" t="s">
        <v>252</v>
      </c>
      <c r="AK4" s="26" t="s">
        <v>253</v>
      </c>
      <c r="AL4" s="25" t="s">
        <v>50</v>
      </c>
      <c r="AM4" s="26" t="s">
        <v>252</v>
      </c>
      <c r="AN4" s="26" t="s">
        <v>253</v>
      </c>
      <c r="AO4" s="28" t="s">
        <v>51</v>
      </c>
      <c r="AP4" s="29" t="s">
        <v>252</v>
      </c>
      <c r="AQ4" s="29" t="s">
        <v>253</v>
      </c>
      <c r="AR4" s="28" t="s">
        <v>52</v>
      </c>
      <c r="AS4" s="29" t="s">
        <v>252</v>
      </c>
      <c r="AT4" s="29" t="s">
        <v>253</v>
      </c>
      <c r="AU4" s="30" t="s">
        <v>53</v>
      </c>
      <c r="AV4" s="31" t="s">
        <v>252</v>
      </c>
      <c r="AW4" s="31" t="s">
        <v>253</v>
      </c>
      <c r="AX4" s="30" t="s">
        <v>54</v>
      </c>
      <c r="AY4" s="31" t="s">
        <v>252</v>
      </c>
      <c r="AZ4" s="31" t="s">
        <v>253</v>
      </c>
      <c r="BA4" s="30" t="s">
        <v>383</v>
      </c>
      <c r="BB4" s="31" t="s">
        <v>250</v>
      </c>
      <c r="BC4" s="31" t="s">
        <v>251</v>
      </c>
      <c r="BD4" s="30" t="s">
        <v>384</v>
      </c>
      <c r="BE4" s="31" t="s">
        <v>250</v>
      </c>
      <c r="BF4" s="31" t="s">
        <v>251</v>
      </c>
      <c r="BG4" s="9" t="s">
        <v>187</v>
      </c>
    </row>
    <row r="5" spans="1:59" s="23" customFormat="1" ht="37.5" customHeight="1" thickBot="1" x14ac:dyDescent="0.6">
      <c r="A5" s="19"/>
      <c r="B5" s="19"/>
      <c r="C5" s="19"/>
      <c r="D5" s="19"/>
      <c r="E5" s="19" t="s">
        <v>99</v>
      </c>
      <c r="F5" s="19" t="s">
        <v>248</v>
      </c>
      <c r="G5" s="24" t="str">
        <f>ref!B3</f>
        <v>攻撃力</v>
      </c>
      <c r="H5" s="24" t="str">
        <f>ref!B4</f>
        <v>守備力</v>
      </c>
      <c r="I5" s="24" t="str">
        <f>ref!B5</f>
        <v>属性</v>
      </c>
      <c r="J5" s="24" t="str">
        <f>ref!B6</f>
        <v>種族</v>
      </c>
      <c r="K5" s="24" t="str">
        <f>ref!B7</f>
        <v>レベル</v>
      </c>
      <c r="L5" s="24">
        <f>ref!B8</f>
        <v>0</v>
      </c>
      <c r="M5" s="24">
        <f>ref!B9</f>
        <v>0</v>
      </c>
      <c r="N5" s="24">
        <f>ref!B10</f>
        <v>0</v>
      </c>
      <c r="O5" s="24">
        <f>ref!B11</f>
        <v>0</v>
      </c>
      <c r="P5" s="20" t="s">
        <v>381</v>
      </c>
      <c r="Q5" s="20" t="s">
        <v>381</v>
      </c>
      <c r="R5" s="21"/>
      <c r="S5" s="21"/>
      <c r="T5" s="20" t="s">
        <v>382</v>
      </c>
      <c r="U5" s="21"/>
      <c r="V5" s="21"/>
      <c r="W5" s="20" t="s">
        <v>381</v>
      </c>
      <c r="X5" s="21"/>
      <c r="Y5" s="21"/>
      <c r="Z5" s="20" t="s">
        <v>382</v>
      </c>
      <c r="AA5" s="21"/>
      <c r="AB5" s="21"/>
      <c r="AC5" s="20" t="s">
        <v>381</v>
      </c>
      <c r="AD5" s="21"/>
      <c r="AE5" s="21"/>
      <c r="AF5" s="20" t="s">
        <v>382</v>
      </c>
      <c r="AG5" s="21"/>
      <c r="AH5" s="21"/>
      <c r="AI5" s="20" t="s">
        <v>381</v>
      </c>
      <c r="AJ5" s="21"/>
      <c r="AK5" s="21"/>
      <c r="AL5" s="20" t="s">
        <v>380</v>
      </c>
      <c r="AM5" s="21"/>
      <c r="AN5" s="21"/>
      <c r="AO5" s="20" t="s">
        <v>381</v>
      </c>
      <c r="AP5" s="21"/>
      <c r="AQ5" s="21"/>
      <c r="AR5" s="20" t="s">
        <v>380</v>
      </c>
      <c r="AS5" s="21"/>
      <c r="AT5" s="21"/>
      <c r="AU5" s="20" t="s">
        <v>381</v>
      </c>
      <c r="AV5" s="21"/>
      <c r="AW5" s="21"/>
      <c r="AX5" s="20" t="s">
        <v>380</v>
      </c>
      <c r="AY5" s="21"/>
      <c r="AZ5" s="21"/>
      <c r="BA5" s="20" t="s">
        <v>381</v>
      </c>
      <c r="BB5" s="21"/>
      <c r="BC5" s="21"/>
      <c r="BD5" s="20" t="s">
        <v>380</v>
      </c>
      <c r="BE5" s="21"/>
      <c r="BF5" s="21"/>
      <c r="BG5" s="22"/>
    </row>
    <row r="6" spans="1:59" x14ac:dyDescent="0.55000000000000004">
      <c r="A6">
        <v>0</v>
      </c>
      <c r="B6" t="s">
        <v>20</v>
      </c>
      <c r="C6" t="s">
        <v>8</v>
      </c>
      <c r="D6">
        <v>0</v>
      </c>
      <c r="E6" t="s">
        <v>19</v>
      </c>
      <c r="F6" t="s">
        <v>178</v>
      </c>
      <c r="G6">
        <v>2500</v>
      </c>
      <c r="H6">
        <v>2100</v>
      </c>
      <c r="I6" t="s">
        <v>243</v>
      </c>
      <c r="J6" t="s">
        <v>244</v>
      </c>
      <c r="K6">
        <v>7</v>
      </c>
      <c r="Q6" t="s">
        <v>179</v>
      </c>
      <c r="T6" t="s">
        <v>180</v>
      </c>
      <c r="U6">
        <v>0</v>
      </c>
    </row>
    <row r="7" spans="1:59" x14ac:dyDescent="0.55000000000000004">
      <c r="A7">
        <v>1</v>
      </c>
      <c r="B7" t="s">
        <v>181</v>
      </c>
      <c r="C7" t="s">
        <v>7</v>
      </c>
      <c r="D7">
        <v>1</v>
      </c>
      <c r="E7" t="s">
        <v>182</v>
      </c>
      <c r="F7" t="s">
        <v>183</v>
      </c>
      <c r="Q7" t="s">
        <v>184</v>
      </c>
      <c r="R7">
        <v>0</v>
      </c>
      <c r="S7">
        <v>0</v>
      </c>
      <c r="T7" t="s">
        <v>185</v>
      </c>
      <c r="U7">
        <v>2</v>
      </c>
    </row>
    <row r="8" spans="1:59" x14ac:dyDescent="0.55000000000000004">
      <c r="A8">
        <v>2</v>
      </c>
      <c r="B8" s="5" t="s">
        <v>48</v>
      </c>
      <c r="C8" t="s">
        <v>249</v>
      </c>
      <c r="D8">
        <v>2</v>
      </c>
      <c r="E8" t="s">
        <v>19</v>
      </c>
      <c r="F8" t="s">
        <v>178</v>
      </c>
      <c r="G8">
        <v>3000</v>
      </c>
      <c r="H8">
        <v>2500</v>
      </c>
      <c r="I8" t="s">
        <v>366</v>
      </c>
      <c r="J8" t="s">
        <v>245</v>
      </c>
      <c r="K8">
        <v>8</v>
      </c>
    </row>
    <row r="9" spans="1:59" x14ac:dyDescent="0.55000000000000004">
      <c r="A9">
        <v>3</v>
      </c>
      <c r="B9" t="s">
        <v>246</v>
      </c>
      <c r="D9">
        <v>3</v>
      </c>
      <c r="E9" t="s">
        <v>247</v>
      </c>
      <c r="F9" t="s">
        <v>186</v>
      </c>
    </row>
    <row r="10" spans="1:59" x14ac:dyDescent="0.55000000000000004">
      <c r="A10">
        <v>4</v>
      </c>
      <c r="B10" t="s">
        <v>264</v>
      </c>
      <c r="C10" t="s">
        <v>311</v>
      </c>
      <c r="D10">
        <v>4</v>
      </c>
    </row>
    <row r="11" spans="1:59" x14ac:dyDescent="0.55000000000000004">
      <c r="A11">
        <v>5</v>
      </c>
      <c r="B11" t="s">
        <v>254</v>
      </c>
      <c r="C11" t="s">
        <v>312</v>
      </c>
      <c r="D11">
        <v>5</v>
      </c>
    </row>
    <row r="12" spans="1:59" x14ac:dyDescent="0.55000000000000004">
      <c r="A12">
        <v>6</v>
      </c>
      <c r="B12" t="s">
        <v>255</v>
      </c>
      <c r="C12" t="s">
        <v>310</v>
      </c>
      <c r="D12">
        <v>6</v>
      </c>
    </row>
    <row r="13" spans="1:59" x14ac:dyDescent="0.55000000000000004">
      <c r="A13">
        <v>7</v>
      </c>
      <c r="B13" t="s">
        <v>256</v>
      </c>
      <c r="C13" t="s">
        <v>313</v>
      </c>
      <c r="D13">
        <v>7</v>
      </c>
    </row>
    <row r="14" spans="1:59" x14ac:dyDescent="0.55000000000000004">
      <c r="A14">
        <v>8</v>
      </c>
      <c r="B14" t="s">
        <v>257</v>
      </c>
      <c r="C14" t="s">
        <v>314</v>
      </c>
      <c r="D14">
        <v>8</v>
      </c>
    </row>
    <row r="15" spans="1:59" x14ac:dyDescent="0.55000000000000004">
      <c r="A15">
        <v>9</v>
      </c>
      <c r="B15" t="s">
        <v>258</v>
      </c>
      <c r="C15" t="s">
        <v>315</v>
      </c>
      <c r="D15">
        <v>9</v>
      </c>
    </row>
    <row r="16" spans="1:59" x14ac:dyDescent="0.55000000000000004">
      <c r="A16">
        <v>10</v>
      </c>
      <c r="B16" t="s">
        <v>259</v>
      </c>
      <c r="C16" t="s">
        <v>316</v>
      </c>
      <c r="D16">
        <v>10</v>
      </c>
    </row>
    <row r="17" spans="1:4" x14ac:dyDescent="0.55000000000000004">
      <c r="A17">
        <v>11</v>
      </c>
      <c r="B17" s="5" t="s">
        <v>260</v>
      </c>
      <c r="C17" t="s">
        <v>317</v>
      </c>
      <c r="D17">
        <v>11</v>
      </c>
    </row>
    <row r="18" spans="1:4" x14ac:dyDescent="0.55000000000000004">
      <c r="A18">
        <v>12</v>
      </c>
      <c r="B18" s="5" t="s">
        <v>261</v>
      </c>
      <c r="C18" t="s">
        <v>318</v>
      </c>
      <c r="D18">
        <v>12</v>
      </c>
    </row>
    <row r="19" spans="1:4" x14ac:dyDescent="0.55000000000000004">
      <c r="A19">
        <v>13</v>
      </c>
      <c r="B19" t="s">
        <v>262</v>
      </c>
      <c r="C19" t="s">
        <v>319</v>
      </c>
      <c r="D19">
        <v>13</v>
      </c>
    </row>
    <row r="20" spans="1:4" x14ac:dyDescent="0.55000000000000004">
      <c r="A20">
        <v>14</v>
      </c>
      <c r="B20" t="s">
        <v>263</v>
      </c>
      <c r="C20" t="s">
        <v>320</v>
      </c>
      <c r="D20">
        <v>14</v>
      </c>
    </row>
    <row r="21" spans="1:4" x14ac:dyDescent="0.55000000000000004">
      <c r="A21">
        <v>15</v>
      </c>
      <c r="B21" t="s">
        <v>265</v>
      </c>
      <c r="C21" t="s">
        <v>321</v>
      </c>
      <c r="D21">
        <v>15</v>
      </c>
    </row>
    <row r="22" spans="1:4" x14ac:dyDescent="0.55000000000000004">
      <c r="A22">
        <v>16</v>
      </c>
      <c r="B22" t="s">
        <v>266</v>
      </c>
      <c r="C22" t="s">
        <v>322</v>
      </c>
      <c r="D22">
        <v>16</v>
      </c>
    </row>
    <row r="23" spans="1:4" x14ac:dyDescent="0.55000000000000004">
      <c r="A23">
        <v>17</v>
      </c>
      <c r="B23" t="s">
        <v>267</v>
      </c>
      <c r="C23" t="s">
        <v>323</v>
      </c>
      <c r="D23">
        <v>17</v>
      </c>
    </row>
    <row r="24" spans="1:4" x14ac:dyDescent="0.55000000000000004">
      <c r="A24">
        <v>18</v>
      </c>
      <c r="B24" t="s">
        <v>268</v>
      </c>
      <c r="C24" t="s">
        <v>324</v>
      </c>
      <c r="D24">
        <v>18</v>
      </c>
    </row>
    <row r="25" spans="1:4" x14ac:dyDescent="0.55000000000000004">
      <c r="A25">
        <v>19</v>
      </c>
      <c r="B25" t="s">
        <v>269</v>
      </c>
      <c r="C25" t="s">
        <v>325</v>
      </c>
      <c r="D25">
        <v>19</v>
      </c>
    </row>
    <row r="26" spans="1:4" x14ac:dyDescent="0.55000000000000004">
      <c r="A26">
        <v>20</v>
      </c>
      <c r="B26" t="s">
        <v>270</v>
      </c>
      <c r="C26" t="s">
        <v>326</v>
      </c>
      <c r="D26">
        <v>20</v>
      </c>
    </row>
    <row r="27" spans="1:4" x14ac:dyDescent="0.55000000000000004">
      <c r="A27">
        <v>21</v>
      </c>
      <c r="B27" t="s">
        <v>271</v>
      </c>
      <c r="C27" t="s">
        <v>327</v>
      </c>
      <c r="D27">
        <v>21</v>
      </c>
    </row>
    <row r="28" spans="1:4" x14ac:dyDescent="0.55000000000000004">
      <c r="A28">
        <v>22</v>
      </c>
      <c r="B28" t="s">
        <v>278</v>
      </c>
      <c r="C28" t="s">
        <v>328</v>
      </c>
      <c r="D28">
        <v>22</v>
      </c>
    </row>
    <row r="29" spans="1:4" x14ac:dyDescent="0.55000000000000004">
      <c r="A29">
        <v>23</v>
      </c>
      <c r="B29" t="s">
        <v>277</v>
      </c>
      <c r="C29" t="s">
        <v>329</v>
      </c>
      <c r="D29">
        <v>23</v>
      </c>
    </row>
    <row r="30" spans="1:4" x14ac:dyDescent="0.55000000000000004">
      <c r="A30">
        <v>24</v>
      </c>
      <c r="B30" t="s">
        <v>272</v>
      </c>
      <c r="C30" t="s">
        <v>330</v>
      </c>
      <c r="D30">
        <v>24</v>
      </c>
    </row>
    <row r="31" spans="1:4" x14ac:dyDescent="0.55000000000000004">
      <c r="A31">
        <v>25</v>
      </c>
      <c r="B31" t="s">
        <v>273</v>
      </c>
      <c r="C31" t="s">
        <v>331</v>
      </c>
      <c r="D31">
        <v>25</v>
      </c>
    </row>
    <row r="32" spans="1:4" x14ac:dyDescent="0.55000000000000004">
      <c r="A32">
        <v>26</v>
      </c>
      <c r="B32" t="s">
        <v>274</v>
      </c>
      <c r="C32" t="s">
        <v>332</v>
      </c>
      <c r="D32">
        <v>26</v>
      </c>
    </row>
    <row r="33" spans="1:4" x14ac:dyDescent="0.55000000000000004">
      <c r="A33">
        <v>27</v>
      </c>
      <c r="B33" t="s">
        <v>275</v>
      </c>
      <c r="C33" t="s">
        <v>333</v>
      </c>
      <c r="D33">
        <v>27</v>
      </c>
    </row>
    <row r="34" spans="1:4" x14ac:dyDescent="0.55000000000000004">
      <c r="A34">
        <v>28</v>
      </c>
      <c r="B34" t="s">
        <v>276</v>
      </c>
      <c r="C34" t="s">
        <v>334</v>
      </c>
      <c r="D34">
        <v>28</v>
      </c>
    </row>
    <row r="35" spans="1:4" x14ac:dyDescent="0.55000000000000004">
      <c r="A35">
        <v>29</v>
      </c>
      <c r="B35" t="s">
        <v>309</v>
      </c>
      <c r="C35" t="s">
        <v>335</v>
      </c>
      <c r="D35">
        <v>29</v>
      </c>
    </row>
    <row r="36" spans="1:4" x14ac:dyDescent="0.55000000000000004">
      <c r="A36">
        <v>30</v>
      </c>
      <c r="B36" t="s">
        <v>308</v>
      </c>
      <c r="C36" t="s">
        <v>336</v>
      </c>
      <c r="D36">
        <v>30</v>
      </c>
    </row>
    <row r="37" spans="1:4" x14ac:dyDescent="0.55000000000000004">
      <c r="A37">
        <v>31</v>
      </c>
      <c r="B37" t="s">
        <v>307</v>
      </c>
      <c r="C37" t="s">
        <v>337</v>
      </c>
      <c r="D37">
        <v>31</v>
      </c>
    </row>
    <row r="38" spans="1:4" x14ac:dyDescent="0.55000000000000004">
      <c r="A38">
        <v>32</v>
      </c>
      <c r="B38" t="s">
        <v>306</v>
      </c>
      <c r="C38" t="s">
        <v>338</v>
      </c>
      <c r="D38">
        <v>32</v>
      </c>
    </row>
    <row r="39" spans="1:4" x14ac:dyDescent="0.55000000000000004">
      <c r="A39">
        <v>33</v>
      </c>
      <c r="B39" t="s">
        <v>305</v>
      </c>
      <c r="C39" t="s">
        <v>339</v>
      </c>
      <c r="D39">
        <v>33</v>
      </c>
    </row>
    <row r="40" spans="1:4" x14ac:dyDescent="0.55000000000000004">
      <c r="A40">
        <v>34</v>
      </c>
      <c r="B40" t="s">
        <v>304</v>
      </c>
      <c r="C40" t="s">
        <v>340</v>
      </c>
      <c r="D40">
        <v>34</v>
      </c>
    </row>
    <row r="41" spans="1:4" x14ac:dyDescent="0.55000000000000004">
      <c r="A41">
        <v>35</v>
      </c>
      <c r="B41" t="s">
        <v>303</v>
      </c>
      <c r="C41" t="s">
        <v>365</v>
      </c>
      <c r="D41">
        <v>35</v>
      </c>
    </row>
    <row r="42" spans="1:4" x14ac:dyDescent="0.55000000000000004">
      <c r="A42">
        <v>36</v>
      </c>
      <c r="B42" t="s">
        <v>302</v>
      </c>
      <c r="C42" t="s">
        <v>341</v>
      </c>
      <c r="D42">
        <v>36</v>
      </c>
    </row>
    <row r="43" spans="1:4" x14ac:dyDescent="0.55000000000000004">
      <c r="A43">
        <v>37</v>
      </c>
      <c r="B43" t="s">
        <v>301</v>
      </c>
      <c r="C43" t="s">
        <v>342</v>
      </c>
      <c r="D43">
        <v>37</v>
      </c>
    </row>
    <row r="44" spans="1:4" x14ac:dyDescent="0.55000000000000004">
      <c r="A44">
        <v>38</v>
      </c>
      <c r="B44" t="s">
        <v>300</v>
      </c>
      <c r="C44" t="s">
        <v>343</v>
      </c>
      <c r="D44">
        <v>38</v>
      </c>
    </row>
    <row r="45" spans="1:4" x14ac:dyDescent="0.55000000000000004">
      <c r="A45">
        <v>39</v>
      </c>
      <c r="B45" t="s">
        <v>299</v>
      </c>
      <c r="C45" t="s">
        <v>344</v>
      </c>
      <c r="D45">
        <v>39</v>
      </c>
    </row>
    <row r="46" spans="1:4" x14ac:dyDescent="0.55000000000000004">
      <c r="A46">
        <v>40</v>
      </c>
      <c r="B46" t="s">
        <v>298</v>
      </c>
      <c r="C46" t="s">
        <v>345</v>
      </c>
      <c r="D46">
        <v>40</v>
      </c>
    </row>
    <row r="47" spans="1:4" x14ac:dyDescent="0.55000000000000004">
      <c r="A47">
        <v>41</v>
      </c>
      <c r="B47" t="s">
        <v>297</v>
      </c>
      <c r="C47" t="s">
        <v>346</v>
      </c>
      <c r="D47">
        <v>41</v>
      </c>
    </row>
    <row r="48" spans="1:4" x14ac:dyDescent="0.55000000000000004">
      <c r="A48">
        <v>42</v>
      </c>
      <c r="B48" t="s">
        <v>296</v>
      </c>
      <c r="C48" t="s">
        <v>347</v>
      </c>
      <c r="D48">
        <v>42</v>
      </c>
    </row>
    <row r="49" spans="1:4" x14ac:dyDescent="0.55000000000000004">
      <c r="A49">
        <v>43</v>
      </c>
      <c r="B49" t="s">
        <v>295</v>
      </c>
      <c r="C49" t="s">
        <v>348</v>
      </c>
      <c r="D49">
        <v>43</v>
      </c>
    </row>
    <row r="50" spans="1:4" x14ac:dyDescent="0.55000000000000004">
      <c r="A50">
        <v>44</v>
      </c>
      <c r="B50" t="s">
        <v>294</v>
      </c>
      <c r="C50" t="s">
        <v>349</v>
      </c>
      <c r="D50">
        <v>44</v>
      </c>
    </row>
    <row r="51" spans="1:4" x14ac:dyDescent="0.55000000000000004">
      <c r="A51">
        <v>45</v>
      </c>
      <c r="B51" t="s">
        <v>293</v>
      </c>
      <c r="C51" t="s">
        <v>350</v>
      </c>
      <c r="D51">
        <v>45</v>
      </c>
    </row>
    <row r="52" spans="1:4" x14ac:dyDescent="0.55000000000000004">
      <c r="A52">
        <v>46</v>
      </c>
      <c r="B52" t="s">
        <v>292</v>
      </c>
      <c r="C52" t="s">
        <v>351</v>
      </c>
      <c r="D52">
        <v>46</v>
      </c>
    </row>
    <row r="53" spans="1:4" x14ac:dyDescent="0.55000000000000004">
      <c r="A53">
        <v>47</v>
      </c>
      <c r="B53" t="s">
        <v>291</v>
      </c>
      <c r="C53" t="s">
        <v>352</v>
      </c>
      <c r="D53">
        <v>47</v>
      </c>
    </row>
    <row r="54" spans="1:4" x14ac:dyDescent="0.55000000000000004">
      <c r="A54">
        <v>48</v>
      </c>
      <c r="B54" t="s">
        <v>290</v>
      </c>
      <c r="C54" t="s">
        <v>353</v>
      </c>
      <c r="D54">
        <v>48</v>
      </c>
    </row>
    <row r="55" spans="1:4" x14ac:dyDescent="0.55000000000000004">
      <c r="A55">
        <v>49</v>
      </c>
      <c r="B55" t="s">
        <v>289</v>
      </c>
      <c r="C55" t="s">
        <v>354</v>
      </c>
      <c r="D55">
        <v>49</v>
      </c>
    </row>
    <row r="56" spans="1:4" x14ac:dyDescent="0.55000000000000004">
      <c r="A56">
        <v>50</v>
      </c>
      <c r="B56" t="s">
        <v>288</v>
      </c>
      <c r="C56" t="s">
        <v>355</v>
      </c>
      <c r="D56">
        <v>50</v>
      </c>
    </row>
    <row r="57" spans="1:4" x14ac:dyDescent="0.55000000000000004">
      <c r="A57">
        <v>51</v>
      </c>
      <c r="B57" t="s">
        <v>287</v>
      </c>
      <c r="C57" t="s">
        <v>356</v>
      </c>
      <c r="D57">
        <v>51</v>
      </c>
    </row>
    <row r="58" spans="1:4" x14ac:dyDescent="0.55000000000000004">
      <c r="A58">
        <v>52</v>
      </c>
      <c r="B58" t="s">
        <v>286</v>
      </c>
      <c r="C58" t="s">
        <v>357</v>
      </c>
      <c r="D58">
        <v>52</v>
      </c>
    </row>
    <row r="59" spans="1:4" x14ac:dyDescent="0.55000000000000004">
      <c r="A59">
        <v>53</v>
      </c>
      <c r="B59" t="s">
        <v>285</v>
      </c>
      <c r="C59" t="s">
        <v>358</v>
      </c>
      <c r="D59">
        <v>53</v>
      </c>
    </row>
    <row r="60" spans="1:4" x14ac:dyDescent="0.55000000000000004">
      <c r="A60">
        <v>54</v>
      </c>
      <c r="B60" t="s">
        <v>284</v>
      </c>
      <c r="C60" t="s">
        <v>359</v>
      </c>
      <c r="D60">
        <v>54</v>
      </c>
    </row>
    <row r="61" spans="1:4" x14ac:dyDescent="0.55000000000000004">
      <c r="A61">
        <v>55</v>
      </c>
      <c r="B61" t="s">
        <v>283</v>
      </c>
      <c r="C61" t="s">
        <v>360</v>
      </c>
      <c r="D61">
        <v>55</v>
      </c>
    </row>
    <row r="62" spans="1:4" x14ac:dyDescent="0.55000000000000004">
      <c r="A62">
        <v>56</v>
      </c>
      <c r="B62" t="s">
        <v>282</v>
      </c>
      <c r="C62" t="s">
        <v>361</v>
      </c>
      <c r="D62">
        <v>56</v>
      </c>
    </row>
    <row r="63" spans="1:4" x14ac:dyDescent="0.55000000000000004">
      <c r="A63">
        <v>57</v>
      </c>
      <c r="B63" t="s">
        <v>281</v>
      </c>
      <c r="C63" t="s">
        <v>362</v>
      </c>
      <c r="D63">
        <v>57</v>
      </c>
    </row>
    <row r="64" spans="1:4" x14ac:dyDescent="0.55000000000000004">
      <c r="A64">
        <v>58</v>
      </c>
      <c r="B64" t="s">
        <v>280</v>
      </c>
      <c r="C64" t="s">
        <v>364</v>
      </c>
      <c r="D64">
        <v>58</v>
      </c>
    </row>
    <row r="65" spans="1:4" x14ac:dyDescent="0.55000000000000004">
      <c r="A65">
        <v>59</v>
      </c>
      <c r="B65" t="s">
        <v>279</v>
      </c>
      <c r="C65" t="s">
        <v>363</v>
      </c>
      <c r="D65">
        <v>59</v>
      </c>
    </row>
  </sheetData>
  <phoneticPr fontId="1"/>
  <dataValidations count="5">
    <dataValidation type="list" allowBlank="1" showInputMessage="1" showErrorMessage="1" sqref="I59" xr:uid="{FC0E7DE9-3FE3-48C1-9987-5BB24F0829C6}">
      <formula1>属性</formula1>
    </dataValidation>
    <dataValidation type="list" operator="equal" allowBlank="1" showInputMessage="1" showErrorMessage="1" sqref="I1:I55" xr:uid="{56F609FC-037A-4DCB-8A89-3C2CC9FB4AFE}">
      <formula1>属性</formula1>
    </dataValidation>
    <dataValidation type="list" operator="equal" allowBlank="1" showInputMessage="1" showErrorMessage="1" sqref="J1:J55" xr:uid="{294E9ADE-78E7-473F-A15E-A34C35CCECAF}">
      <formula1>種族</formula1>
    </dataValidation>
    <dataValidation type="list" operator="equal" allowBlank="1" showInputMessage="1" showErrorMessage="1" sqref="E1:E55" xr:uid="{3F5D2227-D464-4272-AFF8-6D5C75F68D24}">
      <formula1>タイプ</formula1>
    </dataValidation>
    <dataValidation type="list" operator="equal" allowBlank="1" showInputMessage="1" showErrorMessage="1" sqref="F1:F55" xr:uid="{8FE92981-2DAA-44F3-9043-D5DCF2AEAB5E}">
      <formula1>タイプ詳細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Output">
                <anchor moveWithCells="1" sizeWithCells="1">
                  <from>
                    <xdr:col>1</xdr:col>
                    <xdr:colOff>273050</xdr:colOff>
                    <xdr:row>2</xdr:row>
                    <xdr:rowOff>298450</xdr:rowOff>
                  </from>
                  <to>
                    <xdr:col>1</xdr:col>
                    <xdr:colOff>1524000</xdr:colOff>
                    <xdr:row>2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LoadData">
                <anchor moveWithCells="1" sizeWithCells="1">
                  <from>
                    <xdr:col>1</xdr:col>
                    <xdr:colOff>1790700</xdr:colOff>
                    <xdr:row>2</xdr:row>
                    <xdr:rowOff>285750</xdr:rowOff>
                  </from>
                  <to>
                    <xdr:col>2</xdr:col>
                    <xdr:colOff>476250</xdr:colOff>
                    <xdr:row>2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LoadRule">
                <anchor moveWithCells="1" sizeWithCells="1">
                  <from>
                    <xdr:col>2</xdr:col>
                    <xdr:colOff>565150</xdr:colOff>
                    <xdr:row>2</xdr:row>
                    <xdr:rowOff>266700</xdr:rowOff>
                  </from>
                  <to>
                    <xdr:col>3</xdr:col>
                    <xdr:colOff>857250</xdr:colOff>
                    <xdr:row>2</xdr:row>
                    <xdr:rowOff>730250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Button 28">
              <controlPr defaultSize="0" print="0" autoFill="0" autoPict="0" macro="[0]!UpdateRef">
                <anchor moveWithCells="1" sizeWithCells="1">
                  <from>
                    <xdr:col>4</xdr:col>
                    <xdr:colOff>19050</xdr:colOff>
                    <xdr:row>2</xdr:row>
                    <xdr:rowOff>273050</xdr:rowOff>
                  </from>
                  <to>
                    <xdr:col>5</xdr:col>
                    <xdr:colOff>762000</xdr:colOff>
                    <xdr:row>2</xdr:row>
                    <xdr:rowOff>736600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E7342-370D-4606-8BDB-25B4053423CF}">
  <sheetPr codeName="Sheet3"/>
  <dimension ref="A1:BJ65"/>
  <sheetViews>
    <sheetView zoomScale="115" zoomScaleNormal="115" workbookViewId="0"/>
  </sheetViews>
  <sheetFormatPr defaultRowHeight="18" x14ac:dyDescent="0.55000000000000004"/>
  <cols>
    <col min="1" max="1" width="3.6640625" bestFit="1" customWidth="1"/>
    <col min="2" max="2" width="25.5" customWidth="1"/>
    <col min="3" max="3" width="15.75" customWidth="1"/>
    <col min="4" max="4" width="7.1640625" bestFit="1" customWidth="1"/>
    <col min="5" max="5" width="10.4140625" bestFit="1" customWidth="1"/>
    <col min="6" max="6" width="14.33203125" bestFit="1" customWidth="1"/>
    <col min="7" max="15" width="7.4140625" bestFit="1" customWidth="1"/>
    <col min="16" max="16" width="8.4140625" bestFit="1" customWidth="1"/>
    <col min="17" max="17" width="67.5" bestFit="1" customWidth="1"/>
    <col min="18" max="19" width="18.1640625" bestFit="1" customWidth="1"/>
    <col min="20" max="20" width="32.83203125" bestFit="1" customWidth="1"/>
    <col min="21" max="22" width="12.75" bestFit="1" customWidth="1"/>
    <col min="23" max="23" width="13.25" bestFit="1" customWidth="1"/>
    <col min="24" max="25" width="18.1640625" bestFit="1" customWidth="1"/>
    <col min="26" max="26" width="8" bestFit="1" customWidth="1"/>
    <col min="27" max="28" width="12.75" bestFit="1" customWidth="1"/>
    <col min="29" max="29" width="13.25" bestFit="1" customWidth="1"/>
    <col min="30" max="30" width="4.08203125" bestFit="1" customWidth="1"/>
    <col min="31" max="31" width="18.1640625" bestFit="1" customWidth="1"/>
    <col min="32" max="32" width="4.08203125" bestFit="1" customWidth="1"/>
    <col min="33" max="33" width="18.1640625" bestFit="1" customWidth="1"/>
    <col min="34" max="34" width="8" bestFit="1" customWidth="1"/>
    <col min="35" max="35" width="4.08203125" bestFit="1" customWidth="1"/>
    <col min="36" max="36" width="12.75" bestFit="1" customWidth="1"/>
    <col min="37" max="37" width="4.08203125" bestFit="1" customWidth="1"/>
    <col min="38" max="38" width="12.75" bestFit="1" customWidth="1"/>
    <col min="39" max="39" width="13.5" bestFit="1" customWidth="1"/>
    <col min="40" max="41" width="18.4140625" bestFit="1" customWidth="1"/>
    <col min="42" max="42" width="8.25" bestFit="1" customWidth="1"/>
    <col min="43" max="44" width="13.08203125" bestFit="1" customWidth="1"/>
    <col min="45" max="45" width="13.5" bestFit="1" customWidth="1"/>
    <col min="46" max="47" width="18.4140625" bestFit="1" customWidth="1"/>
    <col min="48" max="48" width="8.25" bestFit="1" customWidth="1"/>
    <col min="49" max="50" width="13.08203125" bestFit="1" customWidth="1"/>
    <col min="51" max="51" width="13.5" bestFit="1" customWidth="1"/>
    <col min="52" max="53" width="18.4140625" bestFit="1" customWidth="1"/>
    <col min="54" max="54" width="8.25" bestFit="1" customWidth="1"/>
    <col min="55" max="56" width="13.08203125" bestFit="1" customWidth="1"/>
    <col min="57" max="57" width="13.5" bestFit="1" customWidth="1"/>
    <col min="58" max="59" width="18.4140625" bestFit="1" customWidth="1"/>
    <col min="60" max="60" width="8.25" bestFit="1" customWidth="1"/>
    <col min="61" max="62" width="13.08203125" bestFit="1" customWidth="1"/>
  </cols>
  <sheetData>
    <row r="1" spans="1:62" ht="29" x14ac:dyDescent="0.55000000000000004">
      <c r="A1" s="1"/>
      <c r="C1" s="8"/>
    </row>
    <row r="2" spans="1:62" ht="72" customHeight="1" x14ac:dyDescent="0.55000000000000004"/>
    <row r="3" spans="1:62" ht="37.5" customHeight="1" x14ac:dyDescent="0.55000000000000004">
      <c r="A3" s="2" t="s">
        <v>0</v>
      </c>
      <c r="B3" s="2" t="s">
        <v>3</v>
      </c>
      <c r="C3" s="2" t="s">
        <v>5</v>
      </c>
      <c r="D3" s="3" t="s">
        <v>10</v>
      </c>
      <c r="E3" s="3" t="s">
        <v>99</v>
      </c>
      <c r="F3" s="3" t="s">
        <v>100</v>
      </c>
      <c r="G3" s="13" t="s">
        <v>11</v>
      </c>
      <c r="H3" s="13" t="s">
        <v>12</v>
      </c>
      <c r="I3" s="13" t="s">
        <v>13</v>
      </c>
      <c r="J3" s="13" t="s">
        <v>14</v>
      </c>
      <c r="K3" s="13" t="s">
        <v>15</v>
      </c>
      <c r="L3" s="13" t="s">
        <v>16</v>
      </c>
      <c r="M3" s="13" t="s">
        <v>17</v>
      </c>
      <c r="N3" s="13" t="s">
        <v>18</v>
      </c>
      <c r="O3" s="13" t="s">
        <v>31</v>
      </c>
      <c r="P3" s="13" t="s">
        <v>32</v>
      </c>
      <c r="Q3" s="32" t="s">
        <v>27</v>
      </c>
      <c r="R3" s="33"/>
      <c r="S3" s="33"/>
      <c r="T3" s="32" t="s">
        <v>30</v>
      </c>
      <c r="U3" s="33"/>
      <c r="V3" s="33"/>
      <c r="W3" s="34" t="s">
        <v>29</v>
      </c>
      <c r="X3" s="33"/>
      <c r="Y3" s="33"/>
      <c r="Z3" s="34" t="s">
        <v>28</v>
      </c>
      <c r="AA3" s="33"/>
      <c r="AB3" s="33"/>
      <c r="AC3" s="36" t="s">
        <v>39</v>
      </c>
      <c r="AD3" s="37"/>
      <c r="AE3" s="33"/>
      <c r="AF3" s="37"/>
      <c r="AG3" s="33"/>
      <c r="AH3" s="36" t="s">
        <v>40</v>
      </c>
      <c r="AI3" s="37"/>
      <c r="AJ3" s="33"/>
      <c r="AK3" s="37"/>
      <c r="AL3" s="33"/>
      <c r="AM3" s="32" t="s">
        <v>49</v>
      </c>
      <c r="AN3" s="33"/>
      <c r="AO3" s="33"/>
      <c r="AP3" s="32" t="s">
        <v>50</v>
      </c>
      <c r="AQ3" s="33"/>
      <c r="AR3" s="33"/>
      <c r="AS3" s="34" t="s">
        <v>51</v>
      </c>
      <c r="AT3" s="35"/>
      <c r="AU3" s="35"/>
      <c r="AV3" s="34" t="s">
        <v>52</v>
      </c>
      <c r="AW3" s="35"/>
      <c r="AX3" s="35"/>
      <c r="AY3" s="36" t="s">
        <v>53</v>
      </c>
      <c r="AZ3" s="37"/>
      <c r="BA3" s="37"/>
      <c r="BB3" s="36" t="s">
        <v>54</v>
      </c>
      <c r="BC3" s="37"/>
      <c r="BD3" s="37"/>
      <c r="BE3" s="38" t="s">
        <v>383</v>
      </c>
      <c r="BF3" s="39"/>
      <c r="BG3" s="39"/>
      <c r="BH3" s="38" t="s">
        <v>384</v>
      </c>
      <c r="BI3" s="39"/>
      <c r="BJ3" s="39"/>
    </row>
    <row r="4" spans="1:62" ht="37.5" customHeight="1" x14ac:dyDescent="0.55000000000000004">
      <c r="A4" s="6"/>
      <c r="B4" s="6"/>
      <c r="C4" s="6"/>
      <c r="D4" s="7"/>
      <c r="E4" s="7"/>
      <c r="F4" s="7"/>
      <c r="G4" s="14"/>
      <c r="H4" s="14"/>
      <c r="I4" s="14"/>
      <c r="J4" s="14"/>
      <c r="K4" s="14"/>
      <c r="L4" s="14"/>
      <c r="M4" s="14"/>
      <c r="N4" s="14"/>
      <c r="O4" s="14"/>
      <c r="P4" s="14"/>
      <c r="Q4" s="10"/>
      <c r="R4" s="11"/>
      <c r="S4" s="18"/>
      <c r="T4" s="10"/>
      <c r="U4" s="11"/>
      <c r="V4" s="11"/>
      <c r="W4" s="10"/>
      <c r="X4" s="11"/>
      <c r="Y4" s="18"/>
      <c r="Z4" s="10"/>
      <c r="AA4" s="11"/>
      <c r="AB4" s="11"/>
      <c r="AC4" s="10"/>
      <c r="AD4" s="11"/>
      <c r="AE4" s="11"/>
      <c r="AF4" s="11"/>
      <c r="AG4" s="18"/>
      <c r="AH4" s="10"/>
      <c r="AI4" s="11"/>
      <c r="AJ4" s="11"/>
      <c r="AK4" s="11"/>
      <c r="AL4" s="11"/>
      <c r="AM4" s="10"/>
      <c r="AN4" s="11"/>
      <c r="AO4" s="18"/>
      <c r="AP4" s="10"/>
      <c r="AQ4" s="11"/>
      <c r="AR4" s="11"/>
      <c r="AS4" s="10"/>
      <c r="AT4" s="11"/>
      <c r="AU4" s="18"/>
      <c r="AV4" s="10"/>
      <c r="AW4" s="11"/>
      <c r="AX4" s="11"/>
      <c r="AY4" s="10"/>
      <c r="AZ4" s="11"/>
      <c r="BA4" s="18"/>
      <c r="BB4" s="10"/>
      <c r="BC4" s="11"/>
      <c r="BD4" s="11"/>
      <c r="BE4" s="10"/>
      <c r="BF4" s="11"/>
      <c r="BG4" s="18"/>
      <c r="BH4" s="10"/>
      <c r="BI4" s="11"/>
      <c r="BJ4" s="11"/>
    </row>
    <row r="5" spans="1:62" s="17" customFormat="1" ht="18.5" thickBot="1" x14ac:dyDescent="0.6">
      <c r="A5" s="15" t="s">
        <v>1</v>
      </c>
      <c r="B5" s="15" t="s">
        <v>4</v>
      </c>
      <c r="C5" s="15" t="s">
        <v>6</v>
      </c>
      <c r="D5" s="15" t="s">
        <v>9</v>
      </c>
      <c r="E5" s="15" t="s">
        <v>101</v>
      </c>
      <c r="F5" s="15" t="s">
        <v>102</v>
      </c>
      <c r="G5" s="15" t="s">
        <v>21</v>
      </c>
      <c r="H5" s="15" t="s">
        <v>22</v>
      </c>
      <c r="I5" s="15" t="s">
        <v>23</v>
      </c>
      <c r="J5" s="15" t="s">
        <v>24</v>
      </c>
      <c r="K5" s="15" t="s">
        <v>25</v>
      </c>
      <c r="L5" s="15" t="s">
        <v>26</v>
      </c>
      <c r="M5" s="15" t="s">
        <v>44</v>
      </c>
      <c r="N5" s="15" t="s">
        <v>45</v>
      </c>
      <c r="O5" s="15" t="s">
        <v>46</v>
      </c>
      <c r="P5" s="15" t="s">
        <v>47</v>
      </c>
      <c r="Q5" s="15" t="s">
        <v>55</v>
      </c>
      <c r="R5" s="15" t="s">
        <v>56</v>
      </c>
      <c r="S5" s="15" t="s">
        <v>57</v>
      </c>
      <c r="T5" s="15" t="s">
        <v>33</v>
      </c>
      <c r="U5" s="15" t="s">
        <v>34</v>
      </c>
      <c r="V5" s="15" t="s">
        <v>35</v>
      </c>
      <c r="W5" s="15" t="s">
        <v>58</v>
      </c>
      <c r="X5" s="15" t="s">
        <v>59</v>
      </c>
      <c r="Y5" s="15" t="s">
        <v>60</v>
      </c>
      <c r="Z5" s="15" t="s">
        <v>36</v>
      </c>
      <c r="AA5" s="15" t="s">
        <v>37</v>
      </c>
      <c r="AB5" s="15" t="s">
        <v>38</v>
      </c>
      <c r="AC5" s="15" t="s">
        <v>61</v>
      </c>
      <c r="AD5" s="15"/>
      <c r="AE5" s="15" t="s">
        <v>62</v>
      </c>
      <c r="AF5" s="15"/>
      <c r="AG5" s="15" t="s">
        <v>63</v>
      </c>
      <c r="AH5" s="15" t="s">
        <v>41</v>
      </c>
      <c r="AI5" s="15"/>
      <c r="AJ5" s="15" t="s">
        <v>42</v>
      </c>
      <c r="AK5" s="15"/>
      <c r="AL5" s="15" t="s">
        <v>43</v>
      </c>
      <c r="AM5" s="15" t="s">
        <v>64</v>
      </c>
      <c r="AN5" s="15" t="s">
        <v>65</v>
      </c>
      <c r="AO5" s="15" t="s">
        <v>66</v>
      </c>
      <c r="AP5" s="15" t="s">
        <v>67</v>
      </c>
      <c r="AQ5" s="15" t="s">
        <v>68</v>
      </c>
      <c r="AR5" s="15" t="s">
        <v>69</v>
      </c>
      <c r="AS5" s="15" t="s">
        <v>70</v>
      </c>
      <c r="AT5" s="15" t="s">
        <v>71</v>
      </c>
      <c r="AU5" s="15" t="s">
        <v>72</v>
      </c>
      <c r="AV5" s="15" t="s">
        <v>73</v>
      </c>
      <c r="AW5" s="15" t="s">
        <v>74</v>
      </c>
      <c r="AX5" s="15" t="s">
        <v>75</v>
      </c>
      <c r="AY5" s="15" t="s">
        <v>76</v>
      </c>
      <c r="AZ5" s="15" t="s">
        <v>77</v>
      </c>
      <c r="BA5" s="15" t="s">
        <v>78</v>
      </c>
      <c r="BB5" s="15" t="s">
        <v>79</v>
      </c>
      <c r="BC5" s="15" t="s">
        <v>80</v>
      </c>
      <c r="BD5" s="16" t="s">
        <v>81</v>
      </c>
      <c r="BE5" s="15" t="s">
        <v>393</v>
      </c>
      <c r="BF5" s="15" t="s">
        <v>392</v>
      </c>
      <c r="BG5" s="15" t="s">
        <v>391</v>
      </c>
      <c r="BH5" s="15" t="s">
        <v>388</v>
      </c>
      <c r="BI5" s="15" t="s">
        <v>389</v>
      </c>
      <c r="BJ5" s="16" t="s">
        <v>390</v>
      </c>
    </row>
    <row r="6" spans="1:62" ht="18.5" thickTop="1" x14ac:dyDescent="0.55000000000000004">
      <c r="A6">
        <f>IF(ISBLANK(card_database!$A$6),-1,card_database!$A$6)</f>
        <v>0</v>
      </c>
      <c r="B6" t="str">
        <f>IF(ISBLANK(card_database!$B$6),-1,card_database!$B$6)</f>
        <v>ブラック・マジシャン</v>
      </c>
      <c r="C6" t="str">
        <f>IF(ISBLANK(card_database!$C$6),-1,card_database!$C$6)</f>
        <v>魔法使いとしては、攻撃力・守備力ともに最高クラス。</v>
      </c>
      <c r="D6">
        <f>IF(ISBLANK(card_database!$D$6),-1,card_database!$D$6)</f>
        <v>0</v>
      </c>
      <c r="E6">
        <f>IF(ISBLANK(card_database!$E$6),-1,MATCH(card_database!$E$6,タイプ, 0) - 1)</f>
        <v>0</v>
      </c>
      <c r="F6">
        <f>IF(ISBLANK(card_database!$F$6),-1,MATCH(card_database!$F$6,タイプ詳細, 0) - 1)</f>
        <v>0</v>
      </c>
      <c r="G6">
        <f>IF(ISBLANK(card_database!$G$6),-1,card_database!$G$6)</f>
        <v>2500</v>
      </c>
      <c r="H6">
        <f>IF(ISBLANK(card_database!$H$6),-1,card_database!$H$6)</f>
        <v>2100</v>
      </c>
      <c r="I6">
        <f>IF(ISBLANK(card_database!$I$6),-1,MATCH(card_database!$I$6,属性, 0) - 1)</f>
        <v>0</v>
      </c>
      <c r="J6">
        <f>IF(ISBLANK(card_database!$J$6),-1,MATCH(card_database!$J$6,種族, 0) - 1)</f>
        <v>0</v>
      </c>
      <c r="K6">
        <f>IF(ISBLANK(card_database!$K$6),-1,card_database!$K$6)</f>
        <v>7</v>
      </c>
      <c r="L6">
        <f>IF(ISBLANK(card_database!$L$6),-1,card_database!$L$6)</f>
        <v>-1</v>
      </c>
      <c r="M6">
        <f>IF(ISBLANK(card_database!$M$6),-1,card_database!$M$6)</f>
        <v>-1</v>
      </c>
      <c r="N6">
        <f>IF(ISBLANK(card_database!$N$6),-1,card_database!$N$6)</f>
        <v>-1</v>
      </c>
      <c r="O6">
        <f>IF(ISBLANK(card_database!$O$6),-1,card_database!$O$6)</f>
        <v>-1</v>
      </c>
      <c r="P6">
        <f>IF(ISBLANK(card_database!$P$6),-1,MATCH(card_database!$P$6,条件, 0) - 1)</f>
        <v>-1</v>
      </c>
      <c r="Q6">
        <f>IF(ISBLANK(card_database!$Q$6),-1,MATCH(card_database!$Q$6,条件, 0) - 1)</f>
        <v>4</v>
      </c>
      <c r="R6">
        <f>IF(ISBLANK(card_database!$R$6),-1,card_database!$R$6)</f>
        <v>-1</v>
      </c>
      <c r="S6">
        <f>IF(ISBLANK(card_database!$S$6),-1,card_database!$S$6)</f>
        <v>-1</v>
      </c>
      <c r="T6">
        <f>IF(ISBLANK(card_database!$T$6),-1,MATCH(card_database!$T$6,効果, 0) - 1)</f>
        <v>3</v>
      </c>
      <c r="U6">
        <f>IF(ISBLANK(card_database!$U$6),-1,card_database!$U$6)</f>
        <v>0</v>
      </c>
      <c r="V6">
        <f>IF(ISBLANK(card_database!$V$6),-1,card_database!$V$6)</f>
        <v>-1</v>
      </c>
      <c r="W6">
        <f>IF(ISBLANK(card_database!$W$6),-1,MATCH(card_database!$W$6,条件, 0) - 1)</f>
        <v>-1</v>
      </c>
      <c r="X6">
        <f>IF(ISBLANK(card_database!$X$6),-1,card_database!$X$6)</f>
        <v>-1</v>
      </c>
      <c r="Y6">
        <f>IF(ISBLANK(card_database!$Y$6),-1,card_database!$Y$6)</f>
        <v>-1</v>
      </c>
      <c r="Z6">
        <f>IF(ISBLANK(card_database!$Z$6),-1,MATCH(card_database!$Z$6,効果, 0) - 1)</f>
        <v>-1</v>
      </c>
      <c r="AA6">
        <f>IF(ISBLANK(card_database!$AA$6),-1,card_database!$AA$6)</f>
        <v>-1</v>
      </c>
      <c r="AB6">
        <f>IF(ISBLANK(card_database!$AB$6),-1,card_database!$AB$6)</f>
        <v>-1</v>
      </c>
      <c r="AC6">
        <f>IF(ISBLANK(card_database!$AC$6),-1,MATCH(card_database!$AC$6,条件, 0) - 1)</f>
        <v>-1</v>
      </c>
      <c r="AD6">
        <f>IF(ISBLANK(card_database!$AD$6),-1,card_database!$AD$6)</f>
        <v>-1</v>
      </c>
      <c r="AE6">
        <f>IF(ISBLANK(card_database!$AE$6),-1,card_database!$AE$6)</f>
        <v>-1</v>
      </c>
      <c r="AF6">
        <f>IF(ISBLANK(card_database!$AF$6),-1,MATCH(card_database!$AF$6,効果, 0) - 1)</f>
        <v>-1</v>
      </c>
      <c r="AG6">
        <f>IF(ISBLANK(card_database!$AG$6),-1,card_database!$AG$6)</f>
        <v>-1</v>
      </c>
      <c r="AH6">
        <f>IF(ISBLANK(card_database!$AH$6),-1,card_database!$AH$6)</f>
        <v>-1</v>
      </c>
      <c r="AI6">
        <f>IF(ISBLANK(card_database!$AI$6),-1,MATCH(card_database!$AI$6,条件, 0) - 1)</f>
        <v>-1</v>
      </c>
      <c r="AJ6">
        <f>IF(ISBLANK(card_database!$AJ$6),-1,card_database!$AJ$6)</f>
        <v>-1</v>
      </c>
      <c r="AK6">
        <f>IF(ISBLANK(card_database!$AK$6),-1,card_database!$AK$6)</f>
        <v>-1</v>
      </c>
      <c r="AL6">
        <f>IF(ISBLANK(card_database!$AL$6),-1,MATCH(card_database!$AL$6,わざ, 0) - 1)</f>
        <v>-1</v>
      </c>
      <c r="AM6">
        <f>IF(ISBLANK(card_database!$AM$6),-1,card_database!$AM$6)</f>
        <v>-1</v>
      </c>
      <c r="AN6">
        <f>IF(ISBLANK(card_database!$AN$6),-1,card_database!$AN$6)</f>
        <v>-1</v>
      </c>
      <c r="AO6">
        <f>IF(ISBLANK(card_database!$AO$6),-1,MATCH(card_database!$AO$6,条件, 0) - 1)</f>
        <v>-1</v>
      </c>
      <c r="AP6">
        <f>IF(ISBLANK(card_database!$AP$6),-1,card_database!$AP$6)</f>
        <v>-1</v>
      </c>
      <c r="AQ6">
        <f>IF(ISBLANK(card_database!$AQ$6),-1,card_database!$AQ$6)</f>
        <v>-1</v>
      </c>
      <c r="AR6">
        <f>IF(ISBLANK(card_database!$AR$6),-1,MATCH(card_database!$AR$6,わざ, 0) - 1)</f>
        <v>-1</v>
      </c>
      <c r="AS6">
        <f>IF(ISBLANK(card_database!$AS$6),-1,card_database!$AS$6)</f>
        <v>-1</v>
      </c>
      <c r="AT6">
        <f>IF(ISBLANK(card_database!$AT$6),-1,card_database!$AT$6)</f>
        <v>-1</v>
      </c>
      <c r="AU6">
        <f>IF(ISBLANK(card_database!$AU$6),-1,MATCH(card_database!$AU$6,条件, 0) - 1)</f>
        <v>-1</v>
      </c>
      <c r="AV6">
        <f>IF(ISBLANK(card_database!$AV$6),-1,card_database!$AV$6)</f>
        <v>-1</v>
      </c>
      <c r="AW6">
        <f>IF(ISBLANK(card_database!$AW$6),-1,card_database!$AW$6)</f>
        <v>-1</v>
      </c>
      <c r="AX6">
        <f>IF(ISBLANK(card_database!$AX$6),-1,MATCH(card_database!$AX$6,わざ, 0) - 1)</f>
        <v>-1</v>
      </c>
      <c r="AY6">
        <f>IF(ISBLANK(card_database!$AY$6),-1,card_database!$AY$6)</f>
        <v>-1</v>
      </c>
      <c r="AZ6">
        <f>IF(ISBLANK(card_database!$AZ$6),-1,card_database!$AZ$6)</f>
        <v>-1</v>
      </c>
      <c r="BA6">
        <f>IF(ISBLANK(card_database!$BA$6),-1,MATCH(card_database!$BA$6,条件, 0) - 1)</f>
        <v>-1</v>
      </c>
      <c r="BB6">
        <f>IF(ISBLANK(card_database!$BB$6),-1,card_database!$BB$6)</f>
        <v>-1</v>
      </c>
      <c r="BC6">
        <f>IF(ISBLANK(card_database!$BC$6),-1,card_database!$BC$6)</f>
        <v>-1</v>
      </c>
      <c r="BD6">
        <f>IF(ISBLANK(card_database!$BD$6),-1,MATCH(card_database!$BD$6,わざ, 0) - 1)</f>
        <v>-1</v>
      </c>
      <c r="BE6">
        <f>IF(ISBLANK(card_database!$BE$6),-1,card_database!$BE$6)</f>
        <v>-1</v>
      </c>
      <c r="BF6">
        <f>IF(ISBLANK(card_database!$BF$6),-1,card_database!$BF$6)</f>
        <v>-1</v>
      </c>
      <c r="BG6">
        <f>IF(ISBLANK(card_database!$BG$6),-1,card_database!$BG$6)</f>
        <v>-1</v>
      </c>
      <c r="BH6">
        <f>IF(ISBLANK(card_database!$BB$6),-1,card_database!$BB$6)</f>
        <v>-1</v>
      </c>
      <c r="BI6">
        <f>IF(ISBLANK(card_database!$BC$6),-1,card_database!$BC$6)</f>
        <v>-1</v>
      </c>
      <c r="BJ6">
        <f>IF(ISBLANK(card_database!$BD$6),-1,MATCH(card_database!$BD$6,わざ, 0) - 1)</f>
        <v>-1</v>
      </c>
    </row>
    <row r="7" spans="1:62" x14ac:dyDescent="0.55000000000000004">
      <c r="A7">
        <f>IF(ISBLANK(card_database!$A$7),-1,card_database!$A$7)</f>
        <v>1</v>
      </c>
      <c r="B7" t="str">
        <f>IF(ISBLANK(card_database!$B$7),-1,card_database!$B$7)</f>
        <v>強欲な壺</v>
      </c>
      <c r="C7" t="str">
        <f>IF(ISBLANK(card_database!$C$7),-1,card_database!$C$7)</f>
        <v>１ターンに１度、自分のメインフェイズ時にこのカードの攻撃力を４００ポイントアップできる。この効果を発動するターン、このカードは攻撃できない。</v>
      </c>
      <c r="D7">
        <f>IF(ISBLANK(card_database!$D$7),-1,card_database!$D$7)</f>
        <v>1</v>
      </c>
      <c r="E7">
        <f>IF(ISBLANK(card_database!$E$7),-1,MATCH(card_database!$E$7,タイプ, 0) - 1)</f>
        <v>2</v>
      </c>
      <c r="F7">
        <f>IF(ISBLANK(card_database!$F$7),-1,MATCH(card_database!$F$7,タイプ詳細, 0) - 1)</f>
        <v>2</v>
      </c>
      <c r="G7">
        <f>IF(ISBLANK(card_database!$G$7),-1,card_database!$G$7)</f>
        <v>-1</v>
      </c>
      <c r="H7">
        <f>IF(ISBLANK(card_database!$H$7),-1,card_database!$H$7)</f>
        <v>-1</v>
      </c>
      <c r="I7">
        <f>IF(ISBLANK(card_database!$I$7),-1,MATCH(card_database!$I$7,属性, 0) - 1)</f>
        <v>-1</v>
      </c>
      <c r="J7">
        <f>IF(ISBLANK(card_database!$J$7),-1,MATCH(card_database!$J$7,種族, 0) - 1)</f>
        <v>-1</v>
      </c>
      <c r="K7">
        <f>IF(ISBLANK(card_database!$K$7),-1,card_database!$K$7)</f>
        <v>-1</v>
      </c>
      <c r="L7">
        <f>IF(ISBLANK(card_database!$L$7),-1,card_database!$L$7)</f>
        <v>-1</v>
      </c>
      <c r="M7">
        <f>IF(ISBLANK(card_database!$M$7),-1,card_database!$M$7)</f>
        <v>-1</v>
      </c>
      <c r="N7">
        <f>IF(ISBLANK(card_database!$N$7),-1,card_database!$N$7)</f>
        <v>-1</v>
      </c>
      <c r="O7">
        <f>IF(ISBLANK(card_database!$O$7),-1,card_database!$O$7)</f>
        <v>-1</v>
      </c>
      <c r="P7">
        <f>IF(ISBLANK(card_database!$P$7),-1,MATCH(card_database!$P$7,条件, 0) - 1)</f>
        <v>-1</v>
      </c>
      <c r="Q7">
        <f>IF(ISBLANK(card_database!$Q$7),-1,MATCH(card_database!$Q$7,条件, 0) - 1)</f>
        <v>5</v>
      </c>
      <c r="R7">
        <f>IF(ISBLANK(card_database!$R$7),-1,card_database!$R$7)</f>
        <v>0</v>
      </c>
      <c r="S7">
        <f>IF(ISBLANK(card_database!$S$7),-1,card_database!$S$7)</f>
        <v>0</v>
      </c>
      <c r="T7">
        <f>IF(ISBLANK(card_database!$T$7),-1,MATCH(card_database!$T$7,効果, 0) - 1)</f>
        <v>0</v>
      </c>
      <c r="U7">
        <f>IF(ISBLANK(card_database!$U$7),-1,card_database!$U$7)</f>
        <v>2</v>
      </c>
      <c r="V7">
        <f>IF(ISBLANK(card_database!$V$7),-1,card_database!$V$7)</f>
        <v>-1</v>
      </c>
      <c r="W7">
        <f>IF(ISBLANK(card_database!$W$7),-1,MATCH(card_database!$W$7,条件, 0) - 1)</f>
        <v>-1</v>
      </c>
      <c r="X7">
        <f>IF(ISBLANK(card_database!$X$7),-1,card_database!$X$7)</f>
        <v>-1</v>
      </c>
      <c r="Y7">
        <f>IF(ISBLANK(card_database!$Y$7),-1,card_database!$Y$7)</f>
        <v>-1</v>
      </c>
      <c r="Z7">
        <f>IF(ISBLANK(card_database!$Z$7),-1,MATCH(card_database!$Z$7,効果, 0) - 1)</f>
        <v>-1</v>
      </c>
      <c r="AA7">
        <f>IF(ISBLANK(card_database!$AA$7),-1,card_database!$AA$7)</f>
        <v>-1</v>
      </c>
      <c r="AB7">
        <f>IF(ISBLANK(card_database!$AB$7),-1,card_database!$AB$7)</f>
        <v>-1</v>
      </c>
      <c r="AC7">
        <f>IF(ISBLANK(card_database!$AC$7),-1,MATCH(card_database!$AC$7,条件, 0) - 1)</f>
        <v>-1</v>
      </c>
      <c r="AD7">
        <f>IF(ISBLANK(card_database!$AD$7),-1,card_database!$AD$7)</f>
        <v>-1</v>
      </c>
      <c r="AE7">
        <f>IF(ISBLANK(card_database!$AE$7),-1,card_database!$AE$7)</f>
        <v>-1</v>
      </c>
      <c r="AF7">
        <f>IF(ISBLANK(card_database!$AF$7),-1,MATCH(card_database!$AF$7,効果, 0) - 1)</f>
        <v>-1</v>
      </c>
      <c r="AG7">
        <f>IF(ISBLANK(card_database!$AG$7),-1,card_database!$AG$7)</f>
        <v>-1</v>
      </c>
      <c r="AH7">
        <f>IF(ISBLANK(card_database!$AH$7),-1,card_database!$AH$7)</f>
        <v>-1</v>
      </c>
      <c r="AI7">
        <f>IF(ISBLANK(card_database!$AI$7),-1,MATCH(card_database!$AI$7,条件, 0) - 1)</f>
        <v>-1</v>
      </c>
      <c r="AJ7">
        <f>IF(ISBLANK(card_database!$AJ$7),-1,card_database!$AJ$7)</f>
        <v>-1</v>
      </c>
      <c r="AK7">
        <f>IF(ISBLANK(card_database!$AK$7),-1,card_database!$AK$7)</f>
        <v>-1</v>
      </c>
      <c r="AL7">
        <f>IF(ISBLANK(card_database!$AL$7),-1,MATCH(card_database!$AL$7,わざ, 0) - 1)</f>
        <v>-1</v>
      </c>
      <c r="AM7">
        <f>IF(ISBLANK(card_database!$AM$7),-1,card_database!$AM$7)</f>
        <v>-1</v>
      </c>
      <c r="AN7">
        <f>IF(ISBLANK(card_database!$AN$7),-1,card_database!$AN$7)</f>
        <v>-1</v>
      </c>
      <c r="AO7">
        <f>IF(ISBLANK(card_database!$AO$7),-1,MATCH(card_database!$AO$7,条件, 0) - 1)</f>
        <v>-1</v>
      </c>
      <c r="AP7">
        <f>IF(ISBLANK(card_database!$AP$7),-1,card_database!$AP$7)</f>
        <v>-1</v>
      </c>
      <c r="AQ7">
        <f>IF(ISBLANK(card_database!$AQ$7),-1,card_database!$AQ$7)</f>
        <v>-1</v>
      </c>
      <c r="AR7">
        <f>IF(ISBLANK(card_database!$AR$7),-1,MATCH(card_database!$AR$7,わざ, 0) - 1)</f>
        <v>-1</v>
      </c>
      <c r="AS7">
        <f>IF(ISBLANK(card_database!$AS$7),-1,card_database!$AS$7)</f>
        <v>-1</v>
      </c>
      <c r="AT7">
        <f>IF(ISBLANK(card_database!$AT$7),-1,card_database!$AT$7)</f>
        <v>-1</v>
      </c>
      <c r="AU7">
        <f>IF(ISBLANK(card_database!$AU$7),-1,MATCH(card_database!$AU$7,条件, 0) - 1)</f>
        <v>-1</v>
      </c>
      <c r="AV7">
        <f>IF(ISBLANK(card_database!$AV$7),-1,card_database!$AV$7)</f>
        <v>-1</v>
      </c>
      <c r="AW7">
        <f>IF(ISBLANK(card_database!$AW$7),-1,card_database!$AW$7)</f>
        <v>-1</v>
      </c>
      <c r="AX7">
        <f>IF(ISBLANK(card_database!$AX$7),-1,MATCH(card_database!$AX$7,わざ, 0) - 1)</f>
        <v>-1</v>
      </c>
      <c r="AY7">
        <f>IF(ISBLANK(card_database!$AY$7),-1,card_database!$AY$7)</f>
        <v>-1</v>
      </c>
      <c r="AZ7">
        <f>IF(ISBLANK(card_database!$AZ$7),-1,card_database!$AZ$7)</f>
        <v>-1</v>
      </c>
      <c r="BA7">
        <f>IF(ISBLANK(card_database!$BA$7),-1,MATCH(card_database!$BA$7,条件, 0) - 1)</f>
        <v>-1</v>
      </c>
      <c r="BB7">
        <f>IF(ISBLANK(card_database!$BB$7),-1,card_database!$BB$7)</f>
        <v>-1</v>
      </c>
      <c r="BC7">
        <f>IF(ISBLANK(card_database!$BC$7),-1,card_database!$BC$7)</f>
        <v>-1</v>
      </c>
      <c r="BD7">
        <f>IF(ISBLANK(card_database!$BD$7),-1,MATCH(card_database!$BD$7,わざ, 0) - 1)</f>
        <v>-1</v>
      </c>
      <c r="BE7">
        <f>IF(ISBLANK(card_database!$BE$7),-1,card_database!$BE$7)</f>
        <v>-1</v>
      </c>
      <c r="BF7">
        <f>IF(ISBLANK(card_database!$BF$7),-1,card_database!$BF$7)</f>
        <v>-1</v>
      </c>
      <c r="BG7">
        <f>IF(ISBLANK(card_database!$BG$7),-1,card_database!$BG$7)</f>
        <v>-1</v>
      </c>
      <c r="BH7">
        <f>IF(ISBLANK(card_database!$BB$7),-1,card_database!$BB$7)</f>
        <v>-1</v>
      </c>
      <c r="BI7">
        <f>IF(ISBLANK(card_database!$BC$7),-1,card_database!$BC$7)</f>
        <v>-1</v>
      </c>
      <c r="BJ7">
        <f>IF(ISBLANK(card_database!$BD$7),-1,MATCH(card_database!$BD$7,わざ, 0) - 1)</f>
        <v>-1</v>
      </c>
    </row>
    <row r="8" spans="1:62" x14ac:dyDescent="0.55000000000000004">
      <c r="A8">
        <f>IF(ISBLANK(card_database!$A$8),-1,card_database!$A$8)</f>
        <v>2</v>
      </c>
      <c r="B8" s="5" t="str">
        <f>IF(ISBLANK(card_database!$B$8),-1,card_database!$B$8)</f>
        <v>(青眼の白龍)[ブルーアイズホワイトドラゴン]</v>
      </c>
      <c r="C8" t="str">
        <f>IF(ISBLANK(card_database!$C$8),-1,card_database!$C$8)</f>
        <v>一つ目の巨人。太い腕で殴りかかってくる。要注意。</v>
      </c>
      <c r="D8">
        <f>IF(ISBLANK(card_database!$D$8),-1,card_database!$D$8)</f>
        <v>2</v>
      </c>
      <c r="E8">
        <f>IF(ISBLANK(card_database!$E$8),-1,MATCH(card_database!$E$8,タイプ, 0) - 1)</f>
        <v>0</v>
      </c>
      <c r="F8">
        <f>IF(ISBLANK(card_database!$F$8),-1,MATCH(card_database!$F$8,タイプ詳細, 0) - 1)</f>
        <v>0</v>
      </c>
      <c r="G8">
        <f>IF(ISBLANK(card_database!$G$8),-1,card_database!$G$8)</f>
        <v>3000</v>
      </c>
      <c r="H8">
        <f>IF(ISBLANK(card_database!$H$8),-1,card_database!$H$8)</f>
        <v>2500</v>
      </c>
      <c r="I8">
        <f>IF(ISBLANK(card_database!$I$8),-1,MATCH(card_database!$I$8,属性, 0) - 1)</f>
        <v>1</v>
      </c>
      <c r="J8">
        <f>IF(ISBLANK(card_database!$J$8),-1,MATCH(card_database!$J$8,種族, 0) - 1)</f>
        <v>1</v>
      </c>
      <c r="K8">
        <f>IF(ISBLANK(card_database!$K$8),-1,card_database!$K$8)</f>
        <v>8</v>
      </c>
      <c r="L8">
        <f>IF(ISBLANK(card_database!$L$8),-1,card_database!$L$8)</f>
        <v>-1</v>
      </c>
      <c r="M8">
        <f>IF(ISBLANK(card_database!$M$8),-1,card_database!$M$8)</f>
        <v>-1</v>
      </c>
      <c r="N8">
        <f>IF(ISBLANK(card_database!$N$8),-1,card_database!$N$8)</f>
        <v>-1</v>
      </c>
      <c r="O8">
        <f>IF(ISBLANK(card_database!$O$8),-1,card_database!$O$8)</f>
        <v>-1</v>
      </c>
      <c r="P8">
        <f>IF(ISBLANK(card_database!$P$8),-1,MATCH(card_database!$P$8,条件, 0) - 1)</f>
        <v>-1</v>
      </c>
      <c r="Q8">
        <f>IF(ISBLANK(card_database!$Q$8),-1,MATCH(card_database!$Q$8,条件, 0) - 1)</f>
        <v>-1</v>
      </c>
      <c r="R8">
        <f>IF(ISBLANK(card_database!$R$8),-1,card_database!$R$8)</f>
        <v>-1</v>
      </c>
      <c r="S8">
        <f>IF(ISBLANK(card_database!$S$8),-1,card_database!$S$8)</f>
        <v>-1</v>
      </c>
      <c r="T8">
        <f>IF(ISBLANK(card_database!$T$8),-1,MATCH(card_database!$T$8,効果, 0) - 1)</f>
        <v>-1</v>
      </c>
      <c r="U8">
        <f>IF(ISBLANK(card_database!$U$8),-1,card_database!$U$8)</f>
        <v>-1</v>
      </c>
      <c r="V8">
        <f>IF(ISBLANK(card_database!$V$8),-1,card_database!$V$8)</f>
        <v>-1</v>
      </c>
      <c r="W8">
        <f>IF(ISBLANK(card_database!$W$8),-1,MATCH(card_database!$W$8,条件, 0) - 1)</f>
        <v>-1</v>
      </c>
      <c r="X8">
        <f>IF(ISBLANK(card_database!$X$8),-1,card_database!$X$8)</f>
        <v>-1</v>
      </c>
      <c r="Y8">
        <f>IF(ISBLANK(card_database!$Y$8),-1,card_database!$Y$8)</f>
        <v>-1</v>
      </c>
      <c r="Z8">
        <f>IF(ISBLANK(card_database!$Z$8),-1,MATCH(card_database!$Z$8,効果, 0) - 1)</f>
        <v>-1</v>
      </c>
      <c r="AA8">
        <f>IF(ISBLANK(card_database!$AA$8),-1,card_database!$AA$8)</f>
        <v>-1</v>
      </c>
      <c r="AB8">
        <f>IF(ISBLANK(card_database!$AB$8),-1,card_database!$AB$8)</f>
        <v>-1</v>
      </c>
      <c r="AC8">
        <f>IF(ISBLANK(card_database!$AC$8),-1,MATCH(card_database!$AC$8,条件, 0) - 1)</f>
        <v>-1</v>
      </c>
      <c r="AD8">
        <f>IF(ISBLANK(card_database!$AD$8),-1,card_database!$AD$8)</f>
        <v>-1</v>
      </c>
      <c r="AE8">
        <f>IF(ISBLANK(card_database!$AE$8),-1,card_database!$AE$8)</f>
        <v>-1</v>
      </c>
      <c r="AF8">
        <f>IF(ISBLANK(card_database!$AF$8),-1,MATCH(card_database!$AF$8,効果, 0) - 1)</f>
        <v>-1</v>
      </c>
      <c r="AG8">
        <f>IF(ISBLANK(card_database!$AG$8),-1,card_database!$AG$8)</f>
        <v>-1</v>
      </c>
      <c r="AH8">
        <f>IF(ISBLANK(card_database!$AH$8),-1,card_database!$AH$8)</f>
        <v>-1</v>
      </c>
      <c r="AI8">
        <f>IF(ISBLANK(card_database!$AI$8),-1,MATCH(card_database!$AI$8,条件, 0) - 1)</f>
        <v>-1</v>
      </c>
      <c r="AJ8">
        <f>IF(ISBLANK(card_database!$AJ$8),-1,card_database!$AJ$8)</f>
        <v>-1</v>
      </c>
      <c r="AK8">
        <f>IF(ISBLANK(card_database!$AK$8),-1,card_database!$AK$8)</f>
        <v>-1</v>
      </c>
      <c r="AL8">
        <f>IF(ISBLANK(card_database!$AL$8),-1,MATCH(card_database!$AL$8,わざ, 0) - 1)</f>
        <v>-1</v>
      </c>
      <c r="AM8">
        <f>IF(ISBLANK(card_database!$AM$8),-1,card_database!$AM$8)</f>
        <v>-1</v>
      </c>
      <c r="AN8">
        <f>IF(ISBLANK(card_database!$AN$8),-1,card_database!$AN$8)</f>
        <v>-1</v>
      </c>
      <c r="AO8">
        <f>IF(ISBLANK(card_database!$AO$8),-1,MATCH(card_database!$AO$8,条件, 0) - 1)</f>
        <v>-1</v>
      </c>
      <c r="AP8">
        <f>IF(ISBLANK(card_database!$AP$8),-1,card_database!$AP$8)</f>
        <v>-1</v>
      </c>
      <c r="AQ8">
        <f>IF(ISBLANK(card_database!$AQ$8),-1,card_database!$AQ$8)</f>
        <v>-1</v>
      </c>
      <c r="AR8">
        <f>IF(ISBLANK(card_database!$AR$8),-1,MATCH(card_database!$AR$8,わざ, 0) - 1)</f>
        <v>-1</v>
      </c>
      <c r="AS8">
        <f>IF(ISBLANK(card_database!$AS$8),-1,card_database!$AS$8)</f>
        <v>-1</v>
      </c>
      <c r="AT8">
        <f>IF(ISBLANK(card_database!$AT$8),-1,card_database!$AT$8)</f>
        <v>-1</v>
      </c>
      <c r="AU8">
        <f>IF(ISBLANK(card_database!$AU$8),-1,MATCH(card_database!$AU$8,条件, 0) - 1)</f>
        <v>-1</v>
      </c>
      <c r="AV8">
        <f>IF(ISBLANK(card_database!$AV$8),-1,card_database!$AV$8)</f>
        <v>-1</v>
      </c>
      <c r="AW8">
        <f>IF(ISBLANK(card_database!$AW$8),-1,card_database!$AW$8)</f>
        <v>-1</v>
      </c>
      <c r="AX8">
        <f>IF(ISBLANK(card_database!$AX$8),-1,MATCH(card_database!$AX$8,わざ, 0) - 1)</f>
        <v>-1</v>
      </c>
      <c r="AY8">
        <f>IF(ISBLANK(card_database!$AY$8),-1,card_database!$AY$8)</f>
        <v>-1</v>
      </c>
      <c r="AZ8">
        <f>IF(ISBLANK(card_database!$AZ$8),-1,card_database!$AZ$8)</f>
        <v>-1</v>
      </c>
      <c r="BA8">
        <f>IF(ISBLANK(card_database!$BA$8),-1,MATCH(card_database!$BA$8,条件, 0) - 1)</f>
        <v>-1</v>
      </c>
      <c r="BB8">
        <f>IF(ISBLANK(card_database!$BB$8),-1,card_database!$BB$8)</f>
        <v>-1</v>
      </c>
      <c r="BC8">
        <f>IF(ISBLANK(card_database!$BC$8),-1,card_database!$BC$8)</f>
        <v>-1</v>
      </c>
      <c r="BD8">
        <f>IF(ISBLANK(card_database!$BD$8),-1,MATCH(card_database!$BD$8,わざ, 0) - 1)</f>
        <v>-1</v>
      </c>
      <c r="BE8">
        <f>IF(ISBLANK(card_database!$BE$8),-1,card_database!$BE$8)</f>
        <v>-1</v>
      </c>
      <c r="BF8">
        <f>IF(ISBLANK(card_database!$BF$8),-1,card_database!$BF$8)</f>
        <v>-1</v>
      </c>
      <c r="BG8">
        <f>IF(ISBLANK(card_database!$BG$8),-1,card_database!$BG$8)</f>
        <v>-1</v>
      </c>
      <c r="BH8">
        <f>IF(ISBLANK(card_database!$BB$8),-1,card_database!$BB$8)</f>
        <v>-1</v>
      </c>
      <c r="BI8">
        <f>IF(ISBLANK(card_database!$BC$8),-1,card_database!$BC$8)</f>
        <v>-1</v>
      </c>
      <c r="BJ8">
        <f>IF(ISBLANK(card_database!$BD$8),-1,MATCH(card_database!$BD$8,わざ, 0) - 1)</f>
        <v>-1</v>
      </c>
    </row>
    <row r="9" spans="1:62" x14ac:dyDescent="0.55000000000000004">
      <c r="A9">
        <f>IF(ISBLANK(card_database!$A$9),-1,card_database!$A$9)</f>
        <v>3</v>
      </c>
      <c r="B9" t="str">
        <f>IF(ISBLANK(card_database!$B$9),-1,card_database!$B$9)</f>
        <v>落とし穴</v>
      </c>
      <c r="C9">
        <f>IF(ISBLANK(card_database!$C$9),-1,card_database!$C$9)</f>
        <v>-1</v>
      </c>
      <c r="D9">
        <f>IF(ISBLANK(card_database!$D$9),-1,card_database!$D$9)</f>
        <v>3</v>
      </c>
      <c r="E9">
        <f>IF(ISBLANK(card_database!$E$9),-1,MATCH(card_database!$E$9,タイプ, 0) - 1)</f>
        <v>1</v>
      </c>
      <c r="F9">
        <f>IF(ISBLANK(card_database!$F$9),-1,MATCH(card_database!$F$9,タイプ詳細, 0) - 1)</f>
        <v>8</v>
      </c>
      <c r="G9">
        <f>IF(ISBLANK(card_database!$G$9),-1,card_database!$G$9)</f>
        <v>-1</v>
      </c>
      <c r="H9">
        <f>IF(ISBLANK(card_database!$H$9),-1,card_database!$H$9)</f>
        <v>-1</v>
      </c>
      <c r="I9">
        <f>IF(ISBLANK(card_database!$I$9),-1,MATCH(card_database!$I$9,属性, 0) - 1)</f>
        <v>-1</v>
      </c>
      <c r="J9">
        <f>IF(ISBLANK(card_database!$J$9),-1,MATCH(card_database!$J$9,種族, 0) - 1)</f>
        <v>-1</v>
      </c>
      <c r="K9">
        <f>IF(ISBLANK(card_database!$K$9),-1,card_database!$K$9)</f>
        <v>-1</v>
      </c>
      <c r="L9">
        <f>IF(ISBLANK(card_database!$L$9),-1,card_database!$L$9)</f>
        <v>-1</v>
      </c>
      <c r="M9">
        <f>IF(ISBLANK(card_database!$M$9),-1,card_database!$M$9)</f>
        <v>-1</v>
      </c>
      <c r="N9">
        <f>IF(ISBLANK(card_database!$N$9),-1,card_database!$N$9)</f>
        <v>-1</v>
      </c>
      <c r="O9">
        <f>IF(ISBLANK(card_database!$O$9),-1,card_database!$O$9)</f>
        <v>-1</v>
      </c>
      <c r="P9">
        <f>IF(ISBLANK(card_database!$P$9),-1,MATCH(card_database!$P$9,条件, 0) - 1)</f>
        <v>-1</v>
      </c>
      <c r="Q9">
        <f>IF(ISBLANK(card_database!$Q$9),-1,MATCH(card_database!$Q$9,条件, 0) - 1)</f>
        <v>-1</v>
      </c>
      <c r="R9">
        <f>IF(ISBLANK(card_database!$R$9),-1,card_database!$R$9)</f>
        <v>-1</v>
      </c>
      <c r="S9">
        <f>IF(ISBLANK(card_database!$S$9),-1,card_database!$S$9)</f>
        <v>-1</v>
      </c>
      <c r="T9">
        <f>IF(ISBLANK(card_database!$T$9),-1,MATCH(card_database!$T$9,効果, 0) - 1)</f>
        <v>-1</v>
      </c>
      <c r="U9">
        <f>IF(ISBLANK(card_database!$U$9),-1,card_database!$U$9)</f>
        <v>-1</v>
      </c>
      <c r="V9">
        <f>IF(ISBLANK(card_database!$V$9),-1,card_database!$V$9)</f>
        <v>-1</v>
      </c>
      <c r="W9">
        <f>IF(ISBLANK(card_database!$W$9),-1,MATCH(card_database!$W$9,条件, 0) - 1)</f>
        <v>-1</v>
      </c>
      <c r="X9">
        <f>IF(ISBLANK(card_database!$X$9),-1,card_database!$X$9)</f>
        <v>-1</v>
      </c>
      <c r="Y9">
        <f>IF(ISBLANK(card_database!$Y$9),-1,card_database!$Y$9)</f>
        <v>-1</v>
      </c>
      <c r="Z9">
        <f>IF(ISBLANK(card_database!$Z$9),-1,MATCH(card_database!$Z$9,効果, 0) - 1)</f>
        <v>-1</v>
      </c>
      <c r="AA9">
        <f>IF(ISBLANK(card_database!$AA$9),-1,card_database!$AA$9)</f>
        <v>-1</v>
      </c>
      <c r="AB9">
        <f>IF(ISBLANK(card_database!$AB$9),-1,card_database!$AB$9)</f>
        <v>-1</v>
      </c>
      <c r="AC9">
        <f>IF(ISBLANK(card_database!$AC$9),-1,MATCH(card_database!$AC$9,条件, 0) - 1)</f>
        <v>-1</v>
      </c>
      <c r="AD9">
        <f>IF(ISBLANK(card_database!$AD$9),-1,card_database!$AD$9)</f>
        <v>-1</v>
      </c>
      <c r="AE9">
        <f>IF(ISBLANK(card_database!$AE$9),-1,card_database!$AE$9)</f>
        <v>-1</v>
      </c>
      <c r="AF9">
        <f>IF(ISBLANK(card_database!$AF$9),-1,MATCH(card_database!$AF$9,効果, 0) - 1)</f>
        <v>-1</v>
      </c>
      <c r="AG9">
        <f>IF(ISBLANK(card_database!$AG$9),-1,card_database!$AG$9)</f>
        <v>-1</v>
      </c>
      <c r="AH9">
        <f>IF(ISBLANK(card_database!$AH$9),-1,card_database!$AH$9)</f>
        <v>-1</v>
      </c>
      <c r="AI9">
        <f>IF(ISBLANK(card_database!$AI$9),-1,MATCH(card_database!$AI$9,条件, 0) - 1)</f>
        <v>-1</v>
      </c>
      <c r="AJ9">
        <f>IF(ISBLANK(card_database!$AJ$9),-1,card_database!$AJ$9)</f>
        <v>-1</v>
      </c>
      <c r="AK9">
        <f>IF(ISBLANK(card_database!$AK$9),-1,card_database!$AK$9)</f>
        <v>-1</v>
      </c>
      <c r="AL9">
        <f>IF(ISBLANK(card_database!$AL$9),-1,MATCH(card_database!$AL$9,わざ, 0) - 1)</f>
        <v>-1</v>
      </c>
      <c r="AM9">
        <f>IF(ISBLANK(card_database!$AM$9),-1,card_database!$AM$9)</f>
        <v>-1</v>
      </c>
      <c r="AN9">
        <f>IF(ISBLANK(card_database!$AN$9),-1,card_database!$AN$9)</f>
        <v>-1</v>
      </c>
      <c r="AO9">
        <f>IF(ISBLANK(card_database!$AO$9),-1,MATCH(card_database!$AO$9,条件, 0) - 1)</f>
        <v>-1</v>
      </c>
      <c r="AP9">
        <f>IF(ISBLANK(card_database!$AP$9),-1,card_database!$AP$9)</f>
        <v>-1</v>
      </c>
      <c r="AQ9">
        <f>IF(ISBLANK(card_database!$AQ$9),-1,card_database!$AQ$9)</f>
        <v>-1</v>
      </c>
      <c r="AR9">
        <f>IF(ISBLANK(card_database!$AR$9),-1,MATCH(card_database!$AR$9,わざ, 0) - 1)</f>
        <v>-1</v>
      </c>
      <c r="AS9">
        <f>IF(ISBLANK(card_database!$AS$9),-1,card_database!$AS$9)</f>
        <v>-1</v>
      </c>
      <c r="AT9">
        <f>IF(ISBLANK(card_database!$AT$9),-1,card_database!$AT$9)</f>
        <v>-1</v>
      </c>
      <c r="AU9">
        <f>IF(ISBLANK(card_database!$AU$9),-1,MATCH(card_database!$AU$9,条件, 0) - 1)</f>
        <v>-1</v>
      </c>
      <c r="AV9">
        <f>IF(ISBLANK(card_database!$AV$9),-1,card_database!$AV$9)</f>
        <v>-1</v>
      </c>
      <c r="AW9">
        <f>IF(ISBLANK(card_database!$AW$9),-1,card_database!$AW$9)</f>
        <v>-1</v>
      </c>
      <c r="AX9">
        <f>IF(ISBLANK(card_database!$AX$9),-1,MATCH(card_database!$AX$9,わざ, 0) - 1)</f>
        <v>-1</v>
      </c>
      <c r="AY9">
        <f>IF(ISBLANK(card_database!$AY$9),-1,card_database!$AY$9)</f>
        <v>-1</v>
      </c>
      <c r="AZ9">
        <f>IF(ISBLANK(card_database!$AZ$9),-1,card_database!$AZ$9)</f>
        <v>-1</v>
      </c>
      <c r="BA9">
        <f>IF(ISBLANK(card_database!$BA$9),-1,MATCH(card_database!$BA$9,条件, 0) - 1)</f>
        <v>-1</v>
      </c>
      <c r="BB9">
        <f>IF(ISBLANK(card_database!$BB$9),-1,card_database!$BB$9)</f>
        <v>-1</v>
      </c>
      <c r="BC9">
        <f>IF(ISBLANK(card_database!$BC$9),-1,card_database!$BC$9)</f>
        <v>-1</v>
      </c>
      <c r="BD9">
        <f>IF(ISBLANK(card_database!$BD$9),-1,MATCH(card_database!$BD$9,わざ, 0) - 1)</f>
        <v>-1</v>
      </c>
      <c r="BE9">
        <f>IF(ISBLANK(card_database!$BE$9),-1,card_database!$BE$9)</f>
        <v>-1</v>
      </c>
      <c r="BF9">
        <f>IF(ISBLANK(card_database!$BF$9),-1,card_database!$BF$9)</f>
        <v>-1</v>
      </c>
      <c r="BG9">
        <f>IF(ISBLANK(card_database!$BG$9),-1,card_database!$BG$9)</f>
        <v>-1</v>
      </c>
      <c r="BH9">
        <f>IF(ISBLANK(card_database!$BB$9),-1,card_database!$BB$9)</f>
        <v>-1</v>
      </c>
      <c r="BI9">
        <f>IF(ISBLANK(card_database!$BC$9),-1,card_database!$BC$9)</f>
        <v>-1</v>
      </c>
      <c r="BJ9">
        <f>IF(ISBLANK(card_database!$BD$9),-1,MATCH(card_database!$BD$9,わざ, 0) - 1)</f>
        <v>-1</v>
      </c>
    </row>
    <row r="10" spans="1:62" x14ac:dyDescent="0.55000000000000004">
      <c r="A10">
        <f>IF(ISBLANK(card_database!$A$10),-1,card_database!$A$10)</f>
        <v>4</v>
      </c>
      <c r="B10" t="str">
        <f>IF(ISBLANK(card_database!$B$10),-1,card_database!$B$10)</f>
        <v>ウォー・アース</v>
      </c>
      <c r="C10" t="str">
        <f>IF(ISBLANK(card_database!$C$10),-1,card_database!$C$10)</f>
        <v>岩石が集まってできたゴーレム。相手を石化して破壊する。　</v>
      </c>
      <c r="D10">
        <f>IF(ISBLANK(card_database!$D$10),-1,card_database!$D$10)</f>
        <v>4</v>
      </c>
      <c r="E10">
        <f>IF(ISBLANK(card_database!$E$10),-1,MATCH(card_database!$E$10,タイプ, 0) - 1)</f>
        <v>-1</v>
      </c>
      <c r="F10">
        <f>IF(ISBLANK(card_database!$F$10),-1,MATCH(card_database!$F$10,タイプ詳細, 0) - 1)</f>
        <v>-1</v>
      </c>
      <c r="G10">
        <f>IF(ISBLANK(card_database!$G$10),-1,card_database!$G$10)</f>
        <v>-1</v>
      </c>
      <c r="H10">
        <f>IF(ISBLANK(card_database!$H$10),-1,card_database!$H$10)</f>
        <v>-1</v>
      </c>
      <c r="I10">
        <f>IF(ISBLANK(card_database!$I$10),-1,MATCH(card_database!$I$10,属性, 0) - 1)</f>
        <v>-1</v>
      </c>
      <c r="J10">
        <f>IF(ISBLANK(card_database!$J$10),-1,MATCH(card_database!$J$10,種族, 0) - 1)</f>
        <v>-1</v>
      </c>
      <c r="K10">
        <f>IF(ISBLANK(card_database!$K$10),-1,card_database!$K$10)</f>
        <v>-1</v>
      </c>
      <c r="L10">
        <f>IF(ISBLANK(card_database!$L$10),-1,card_database!$L$10)</f>
        <v>-1</v>
      </c>
      <c r="M10">
        <f>IF(ISBLANK(card_database!$M$10),-1,card_database!$M$10)</f>
        <v>-1</v>
      </c>
      <c r="N10">
        <f>IF(ISBLANK(card_database!$N$10),-1,card_database!$N$10)</f>
        <v>-1</v>
      </c>
      <c r="O10">
        <f>IF(ISBLANK(card_database!$O$10),-1,card_database!$O$10)</f>
        <v>-1</v>
      </c>
      <c r="P10">
        <f>IF(ISBLANK(card_database!$P$10),-1,MATCH(card_database!$P$10,条件, 0) - 1)</f>
        <v>-1</v>
      </c>
      <c r="Q10">
        <f>IF(ISBLANK(card_database!$Q$10),-1,MATCH(card_database!$Q$10,条件, 0) - 1)</f>
        <v>-1</v>
      </c>
      <c r="R10">
        <f>IF(ISBLANK(card_database!$R$10),-1,card_database!$R$10)</f>
        <v>-1</v>
      </c>
      <c r="S10">
        <f>IF(ISBLANK(card_database!$S$10),-1,card_database!$S$10)</f>
        <v>-1</v>
      </c>
      <c r="T10">
        <f>IF(ISBLANK(card_database!$T$10),-1,MATCH(card_database!$T$10,効果, 0) - 1)</f>
        <v>-1</v>
      </c>
      <c r="U10">
        <f>IF(ISBLANK(card_database!$U$10),-1,card_database!$U$10)</f>
        <v>-1</v>
      </c>
      <c r="V10">
        <f>IF(ISBLANK(card_database!$V$10),-1,card_database!$V$10)</f>
        <v>-1</v>
      </c>
      <c r="W10">
        <f>IF(ISBLANK(card_database!$W$10),-1,MATCH(card_database!$W$10,条件, 0) - 1)</f>
        <v>-1</v>
      </c>
      <c r="X10">
        <f>IF(ISBLANK(card_database!$X$10),-1,card_database!$X$10)</f>
        <v>-1</v>
      </c>
      <c r="Y10">
        <f>IF(ISBLANK(card_database!$Y$10),-1,card_database!$Y$10)</f>
        <v>-1</v>
      </c>
      <c r="Z10">
        <f>IF(ISBLANK(card_database!$Z$10),-1,MATCH(card_database!$Z$10,効果, 0) - 1)</f>
        <v>-1</v>
      </c>
      <c r="AA10">
        <f>IF(ISBLANK(card_database!$AA$10),-1,card_database!$AA$10)</f>
        <v>-1</v>
      </c>
      <c r="AB10">
        <f>IF(ISBLANK(card_database!$AB$10),-1,card_database!$AB$10)</f>
        <v>-1</v>
      </c>
      <c r="AC10">
        <f>IF(ISBLANK(card_database!$AC$10),-1,MATCH(card_database!$AC$10,条件, 0) - 1)</f>
        <v>-1</v>
      </c>
      <c r="AD10">
        <f>IF(ISBLANK(card_database!$AD$10),-1,card_database!$AD$10)</f>
        <v>-1</v>
      </c>
      <c r="AE10">
        <f>IF(ISBLANK(card_database!$AE$10),-1,card_database!$AE$10)</f>
        <v>-1</v>
      </c>
      <c r="AF10">
        <f>IF(ISBLANK(card_database!$AF$10),-1,MATCH(card_database!$AF$10,効果, 0) - 1)</f>
        <v>-1</v>
      </c>
      <c r="AG10">
        <f>IF(ISBLANK(card_database!$AG$10),-1,card_database!$AG$10)</f>
        <v>-1</v>
      </c>
      <c r="AH10">
        <f>IF(ISBLANK(card_database!$AH$10),-1,card_database!$AH$10)</f>
        <v>-1</v>
      </c>
      <c r="AI10">
        <f>IF(ISBLANK(card_database!$AI$10),-1,MATCH(card_database!$AI$10,条件, 0) - 1)</f>
        <v>-1</v>
      </c>
      <c r="AJ10">
        <f>IF(ISBLANK(card_database!$AJ$10),-1,card_database!$AJ$10)</f>
        <v>-1</v>
      </c>
      <c r="AK10">
        <f>IF(ISBLANK(card_database!$AK$10),-1,card_database!$AK$10)</f>
        <v>-1</v>
      </c>
      <c r="AL10">
        <f>IF(ISBLANK(card_database!$AL$10),-1,MATCH(card_database!$AL$10,わざ, 0) - 1)</f>
        <v>-1</v>
      </c>
      <c r="AM10">
        <f>IF(ISBLANK(card_database!$AM$10),-1,card_database!$AM$10)</f>
        <v>-1</v>
      </c>
      <c r="AN10">
        <f>IF(ISBLANK(card_database!$AN$10),-1,card_database!$AN$10)</f>
        <v>-1</v>
      </c>
      <c r="AO10">
        <f>IF(ISBLANK(card_database!$AO$10),-1,MATCH(card_database!$AO$10,条件, 0) - 1)</f>
        <v>-1</v>
      </c>
      <c r="AP10">
        <f>IF(ISBLANK(card_database!$AP$10),-1,card_database!$AP$10)</f>
        <v>-1</v>
      </c>
      <c r="AQ10">
        <f>IF(ISBLANK(card_database!$AQ$10),-1,card_database!$AQ$10)</f>
        <v>-1</v>
      </c>
      <c r="AR10">
        <f>IF(ISBLANK(card_database!$AR$10),-1,MATCH(card_database!$AR$10,わざ, 0) - 1)</f>
        <v>-1</v>
      </c>
      <c r="AS10">
        <f>IF(ISBLANK(card_database!$AS$10),-1,card_database!$AS$10)</f>
        <v>-1</v>
      </c>
      <c r="AT10">
        <f>IF(ISBLANK(card_database!$AT$10),-1,card_database!$AT$10)</f>
        <v>-1</v>
      </c>
      <c r="AU10">
        <f>IF(ISBLANK(card_database!$AU$10),-1,MATCH(card_database!$AU$10,条件, 0) - 1)</f>
        <v>-1</v>
      </c>
      <c r="AV10">
        <f>IF(ISBLANK(card_database!$AV$10),-1,card_database!$AV$10)</f>
        <v>-1</v>
      </c>
      <c r="AW10">
        <f>IF(ISBLANK(card_database!$AW$10),-1,card_database!$AW$10)</f>
        <v>-1</v>
      </c>
      <c r="AX10">
        <f>IF(ISBLANK(card_database!$AX$10),-1,MATCH(card_database!$AX$10,わざ, 0) - 1)</f>
        <v>-1</v>
      </c>
      <c r="AY10">
        <f>IF(ISBLANK(card_database!$AY$10),-1,card_database!$AY$10)</f>
        <v>-1</v>
      </c>
      <c r="AZ10">
        <f>IF(ISBLANK(card_database!$AZ$10),-1,card_database!$AZ$10)</f>
        <v>-1</v>
      </c>
      <c r="BA10">
        <f>IF(ISBLANK(card_database!$BA$10),-1,MATCH(card_database!$BA$10,条件, 0) - 1)</f>
        <v>-1</v>
      </c>
      <c r="BB10">
        <f>IF(ISBLANK(card_database!$BB$10),-1,card_database!$BB$10)</f>
        <v>-1</v>
      </c>
      <c r="BC10">
        <f>IF(ISBLANK(card_database!$BC$10),-1,card_database!$BC$10)</f>
        <v>-1</v>
      </c>
      <c r="BD10">
        <f>IF(ISBLANK(card_database!$BD$10),-1,MATCH(card_database!$BD$10,わざ, 0) - 1)</f>
        <v>-1</v>
      </c>
      <c r="BE10">
        <f>IF(ISBLANK(card_database!$BE$10),-1,card_database!$BE$10)</f>
        <v>-1</v>
      </c>
      <c r="BF10">
        <f>IF(ISBLANK(card_database!$BF$10),-1,card_database!$BF$10)</f>
        <v>-1</v>
      </c>
      <c r="BG10">
        <f>IF(ISBLANK(card_database!$BG$10),-1,card_database!$BG$10)</f>
        <v>-1</v>
      </c>
      <c r="BH10">
        <f>IF(ISBLANK(card_database!$BB$10),-1,card_database!$BB$10)</f>
        <v>-1</v>
      </c>
      <c r="BI10">
        <f>IF(ISBLANK(card_database!$BC$10),-1,card_database!$BC$10)</f>
        <v>-1</v>
      </c>
      <c r="BJ10">
        <f>IF(ISBLANK(card_database!$BD$10),-1,MATCH(card_database!$BD$10,わざ, 0) - 1)</f>
        <v>-1</v>
      </c>
    </row>
    <row r="11" spans="1:62" x14ac:dyDescent="0.55000000000000004">
      <c r="A11">
        <f>IF(ISBLANK(card_database!$A$11),-1,card_database!$A$11)</f>
        <v>5</v>
      </c>
      <c r="B11" t="str">
        <f>IF(ISBLANK(card_database!$B$11),-1,card_database!$B$11)</f>
        <v>１３人目の埋葬者</v>
      </c>
      <c r="C11" t="str">
        <f>IF(ISBLANK(card_database!$C$11),-1,card_database!$C$11)</f>
        <v>誰もいないはずの１３番目の墓から突然現れたゾンビ。</v>
      </c>
      <c r="D11">
        <f>IF(ISBLANK(card_database!$D$11),-1,card_database!$D$11)</f>
        <v>5</v>
      </c>
      <c r="E11">
        <f>IF(ISBLANK(card_database!$E$11),-1,MATCH(card_database!$E$11,タイプ, 0) - 1)</f>
        <v>-1</v>
      </c>
      <c r="F11">
        <f>IF(ISBLANK(card_database!$F$11),-1,MATCH(card_database!$F$11,タイプ詳細, 0) - 1)</f>
        <v>-1</v>
      </c>
      <c r="G11">
        <f>IF(ISBLANK(card_database!$G$11),-1,card_database!$G$11)</f>
        <v>-1</v>
      </c>
      <c r="H11">
        <f>IF(ISBLANK(card_database!$H$11),-1,card_database!$H$11)</f>
        <v>-1</v>
      </c>
      <c r="I11">
        <f>IF(ISBLANK(card_database!$I$11),-1,MATCH(card_database!$I$11,属性, 0) - 1)</f>
        <v>-1</v>
      </c>
      <c r="J11">
        <f>IF(ISBLANK(card_database!$J$11),-1,MATCH(card_database!$J$11,種族, 0) - 1)</f>
        <v>-1</v>
      </c>
      <c r="K11">
        <f>IF(ISBLANK(card_database!$K$11),-1,card_database!$K$11)</f>
        <v>-1</v>
      </c>
      <c r="L11">
        <f>IF(ISBLANK(card_database!$L$11),-1,card_database!$L$11)</f>
        <v>-1</v>
      </c>
      <c r="M11">
        <f>IF(ISBLANK(card_database!$M$11),-1,card_database!$M$11)</f>
        <v>-1</v>
      </c>
      <c r="N11">
        <f>IF(ISBLANK(card_database!$N$11),-1,card_database!$N$11)</f>
        <v>-1</v>
      </c>
      <c r="O11">
        <f>IF(ISBLANK(card_database!$O$11),-1,card_database!$O$11)</f>
        <v>-1</v>
      </c>
      <c r="P11">
        <f>IF(ISBLANK(card_database!$P$11),-1,MATCH(card_database!$P$11,条件, 0) - 1)</f>
        <v>-1</v>
      </c>
      <c r="Q11">
        <f>IF(ISBLANK(card_database!$Q$11),-1,MATCH(card_database!$Q$11,条件, 0) - 1)</f>
        <v>-1</v>
      </c>
      <c r="R11">
        <f>IF(ISBLANK(card_database!$R$11),-1,card_database!$R$11)</f>
        <v>-1</v>
      </c>
      <c r="S11">
        <f>IF(ISBLANK(card_database!$S$11),-1,card_database!$S$11)</f>
        <v>-1</v>
      </c>
      <c r="T11">
        <f>IF(ISBLANK(card_database!$T$11),-1,MATCH(card_database!$T$11,効果, 0) - 1)</f>
        <v>-1</v>
      </c>
      <c r="U11">
        <f>IF(ISBLANK(card_database!$U$11),-1,card_database!$U$11)</f>
        <v>-1</v>
      </c>
      <c r="V11">
        <f>IF(ISBLANK(card_database!$V$11),-1,card_database!$V$11)</f>
        <v>-1</v>
      </c>
      <c r="W11">
        <f>IF(ISBLANK(card_database!$W$11),-1,MATCH(card_database!$W$11,条件, 0) - 1)</f>
        <v>-1</v>
      </c>
      <c r="X11">
        <f>IF(ISBLANK(card_database!$X$11),-1,card_database!$X$11)</f>
        <v>-1</v>
      </c>
      <c r="Y11">
        <f>IF(ISBLANK(card_database!$Y$11),-1,card_database!$Y$11)</f>
        <v>-1</v>
      </c>
      <c r="Z11">
        <f>IF(ISBLANK(card_database!$Z$11),-1,MATCH(card_database!$Z$11,効果, 0) - 1)</f>
        <v>-1</v>
      </c>
      <c r="AA11">
        <f>IF(ISBLANK(card_database!$AA$11),-1,card_database!$AA$11)</f>
        <v>-1</v>
      </c>
      <c r="AB11">
        <f>IF(ISBLANK(card_database!$AB$11),-1,card_database!$AB$11)</f>
        <v>-1</v>
      </c>
      <c r="AC11">
        <f>IF(ISBLANK(card_database!$AC$11),-1,MATCH(card_database!$AC$11,条件, 0) - 1)</f>
        <v>-1</v>
      </c>
      <c r="AD11">
        <f>IF(ISBLANK(card_database!$AD$11),-1,card_database!$AD$11)</f>
        <v>-1</v>
      </c>
      <c r="AE11">
        <f>IF(ISBLANK(card_database!$AE$11),-1,card_database!$AE$11)</f>
        <v>-1</v>
      </c>
      <c r="AF11">
        <f>IF(ISBLANK(card_database!$AF$11),-1,MATCH(card_database!$AF$11,効果, 0) - 1)</f>
        <v>-1</v>
      </c>
      <c r="AG11">
        <f>IF(ISBLANK(card_database!$AG$11),-1,card_database!$AG$11)</f>
        <v>-1</v>
      </c>
      <c r="AH11">
        <f>IF(ISBLANK(card_database!$AH$11),-1,card_database!$AH$11)</f>
        <v>-1</v>
      </c>
      <c r="AI11">
        <f>IF(ISBLANK(card_database!$AI$11),-1,MATCH(card_database!$AI$11,条件, 0) - 1)</f>
        <v>-1</v>
      </c>
      <c r="AJ11">
        <f>IF(ISBLANK(card_database!$AJ$11),-1,card_database!$AJ$11)</f>
        <v>-1</v>
      </c>
      <c r="AK11">
        <f>IF(ISBLANK(card_database!$AK$11),-1,card_database!$AK$11)</f>
        <v>-1</v>
      </c>
      <c r="AL11">
        <f>IF(ISBLANK(card_database!$AL$11),-1,MATCH(card_database!$AL$11,わざ, 0) - 1)</f>
        <v>-1</v>
      </c>
      <c r="AM11">
        <f>IF(ISBLANK(card_database!$AM$11),-1,card_database!$AM$11)</f>
        <v>-1</v>
      </c>
      <c r="AN11">
        <f>IF(ISBLANK(card_database!$AN$11),-1,card_database!$AN$11)</f>
        <v>-1</v>
      </c>
      <c r="AO11">
        <f>IF(ISBLANK(card_database!$AO$11),-1,MATCH(card_database!$AO$11,条件, 0) - 1)</f>
        <v>-1</v>
      </c>
      <c r="AP11">
        <f>IF(ISBLANK(card_database!$AP$11),-1,card_database!$AP$11)</f>
        <v>-1</v>
      </c>
      <c r="AQ11">
        <f>IF(ISBLANK(card_database!$AQ$11),-1,card_database!$AQ$11)</f>
        <v>-1</v>
      </c>
      <c r="AR11">
        <f>IF(ISBLANK(card_database!$AR$11),-1,MATCH(card_database!$AR$11,わざ, 0) - 1)</f>
        <v>-1</v>
      </c>
      <c r="AS11">
        <f>IF(ISBLANK(card_database!$AS$11),-1,card_database!$AS$11)</f>
        <v>-1</v>
      </c>
      <c r="AT11">
        <f>IF(ISBLANK(card_database!$AT$11),-1,card_database!$AT$11)</f>
        <v>-1</v>
      </c>
      <c r="AU11">
        <f>IF(ISBLANK(card_database!$AU$11),-1,MATCH(card_database!$AU$11,条件, 0) - 1)</f>
        <v>-1</v>
      </c>
      <c r="AV11">
        <f>IF(ISBLANK(card_database!$AV$11),-1,card_database!$AV$11)</f>
        <v>-1</v>
      </c>
      <c r="AW11">
        <f>IF(ISBLANK(card_database!$AW$11),-1,card_database!$AW$11)</f>
        <v>-1</v>
      </c>
      <c r="AX11">
        <f>IF(ISBLANK(card_database!$AX$11),-1,MATCH(card_database!$AX$11,わざ, 0) - 1)</f>
        <v>-1</v>
      </c>
      <c r="AY11">
        <f>IF(ISBLANK(card_database!$AY$11),-1,card_database!$AY$11)</f>
        <v>-1</v>
      </c>
      <c r="AZ11">
        <f>IF(ISBLANK(card_database!$AZ$11),-1,card_database!$AZ$11)</f>
        <v>-1</v>
      </c>
      <c r="BA11">
        <f>IF(ISBLANK(card_database!$BA$11),-1,MATCH(card_database!$BA$11,条件, 0) - 1)</f>
        <v>-1</v>
      </c>
      <c r="BB11">
        <f>IF(ISBLANK(card_database!$BB$11),-1,card_database!$BB$11)</f>
        <v>-1</v>
      </c>
      <c r="BC11">
        <f>IF(ISBLANK(card_database!$BC$11),-1,card_database!$BC$11)</f>
        <v>-1</v>
      </c>
      <c r="BD11">
        <f>IF(ISBLANK(card_database!$BD$11),-1,MATCH(card_database!$BD$11,わざ, 0) - 1)</f>
        <v>-1</v>
      </c>
      <c r="BE11">
        <f>IF(ISBLANK(card_database!$BE$11),-1,card_database!$BE$11)</f>
        <v>-1</v>
      </c>
      <c r="BF11">
        <f>IF(ISBLANK(card_database!$BF$11),-1,card_database!$BF$11)</f>
        <v>-1</v>
      </c>
      <c r="BG11">
        <f>IF(ISBLANK(card_database!$BG$11),-1,card_database!$BG$11)</f>
        <v>-1</v>
      </c>
      <c r="BH11">
        <f>IF(ISBLANK(card_database!$BB$11),-1,card_database!$BB$11)</f>
        <v>-1</v>
      </c>
      <c r="BI11">
        <f>IF(ISBLANK(card_database!$BC$11),-1,card_database!$BC$11)</f>
        <v>-1</v>
      </c>
      <c r="BJ11">
        <f>IF(ISBLANK(card_database!$BD$11),-1,MATCH(card_database!$BD$11,わざ, 0) - 1)</f>
        <v>-1</v>
      </c>
    </row>
    <row r="12" spans="1:62" x14ac:dyDescent="0.55000000000000004">
      <c r="A12">
        <f>IF(ISBLANK(card_database!$A$12),-1,card_database!$A$12)</f>
        <v>6</v>
      </c>
      <c r="B12" t="str">
        <f>IF(ISBLANK(card_database!$B$12),-1,card_database!$B$12)</f>
        <v>仮面道化</v>
      </c>
      <c r="C12" t="str">
        <f>IF(ISBLANK(card_database!$C$12),-1,card_database!$C$12)</f>
        <v>死のおどりを踊りながら、手にするカマで相手を切りきざむ戦士。</v>
      </c>
      <c r="D12">
        <f>IF(ISBLANK(card_database!$D$12),-1,card_database!$D$12)</f>
        <v>6</v>
      </c>
      <c r="E12">
        <f>IF(ISBLANK(card_database!$E$12),-1,MATCH(card_database!$E$12,タイプ, 0) - 1)</f>
        <v>-1</v>
      </c>
      <c r="F12">
        <f>IF(ISBLANK(card_database!$F$12),-1,MATCH(card_database!$F$12,タイプ詳細, 0) - 1)</f>
        <v>-1</v>
      </c>
      <c r="G12">
        <f>IF(ISBLANK(card_database!$G$12),-1,card_database!$G$12)</f>
        <v>-1</v>
      </c>
      <c r="H12">
        <f>IF(ISBLANK(card_database!$H$12),-1,card_database!$H$12)</f>
        <v>-1</v>
      </c>
      <c r="I12">
        <f>IF(ISBLANK(card_database!$I$12),-1,MATCH(card_database!$I$12,属性, 0) - 1)</f>
        <v>-1</v>
      </c>
      <c r="J12">
        <f>IF(ISBLANK(card_database!$J$12),-1,MATCH(card_database!$J$12,種族, 0) - 1)</f>
        <v>-1</v>
      </c>
      <c r="K12">
        <f>IF(ISBLANK(card_database!$K$12),-1,card_database!$K$12)</f>
        <v>-1</v>
      </c>
      <c r="L12">
        <f>IF(ISBLANK(card_database!$L$12),-1,card_database!$L$12)</f>
        <v>-1</v>
      </c>
      <c r="M12">
        <f>IF(ISBLANK(card_database!$M$12),-1,card_database!$M$12)</f>
        <v>-1</v>
      </c>
      <c r="N12">
        <f>IF(ISBLANK(card_database!$N$12),-1,card_database!$N$12)</f>
        <v>-1</v>
      </c>
      <c r="O12">
        <f>IF(ISBLANK(card_database!$O$12),-1,card_database!$O$12)</f>
        <v>-1</v>
      </c>
      <c r="P12">
        <f>IF(ISBLANK(card_database!$P$12),-1,MATCH(card_database!$P$12,条件, 0) - 1)</f>
        <v>-1</v>
      </c>
      <c r="Q12">
        <f>IF(ISBLANK(card_database!$Q$12),-1,MATCH(card_database!$Q$12,条件, 0) - 1)</f>
        <v>-1</v>
      </c>
      <c r="R12">
        <f>IF(ISBLANK(card_database!$R$12),-1,card_database!$R$12)</f>
        <v>-1</v>
      </c>
      <c r="S12">
        <f>IF(ISBLANK(card_database!$S$12),-1,card_database!$S$12)</f>
        <v>-1</v>
      </c>
      <c r="T12">
        <f>IF(ISBLANK(card_database!$T$12),-1,MATCH(card_database!$T$12,効果, 0) - 1)</f>
        <v>-1</v>
      </c>
      <c r="U12">
        <f>IF(ISBLANK(card_database!$U$12),-1,card_database!$U$12)</f>
        <v>-1</v>
      </c>
      <c r="V12">
        <f>IF(ISBLANK(card_database!$V$12),-1,card_database!$V$12)</f>
        <v>-1</v>
      </c>
      <c r="W12">
        <f>IF(ISBLANK(card_database!$W$12),-1,MATCH(card_database!$W$12,条件, 0) - 1)</f>
        <v>-1</v>
      </c>
      <c r="X12">
        <f>IF(ISBLANK(card_database!$X$12),-1,card_database!$X$12)</f>
        <v>-1</v>
      </c>
      <c r="Y12">
        <f>IF(ISBLANK(card_database!$Y$12),-1,card_database!$Y$12)</f>
        <v>-1</v>
      </c>
      <c r="Z12">
        <f>IF(ISBLANK(card_database!$Z$12),-1,MATCH(card_database!$Z$12,効果, 0) - 1)</f>
        <v>-1</v>
      </c>
      <c r="AA12">
        <f>IF(ISBLANK(card_database!$AA$12),-1,card_database!$AA$12)</f>
        <v>-1</v>
      </c>
      <c r="AB12">
        <f>IF(ISBLANK(card_database!$AB$12),-1,card_database!$AB$12)</f>
        <v>-1</v>
      </c>
      <c r="AC12">
        <f>IF(ISBLANK(card_database!$AC$12),-1,MATCH(card_database!$AC$12,条件, 0) - 1)</f>
        <v>-1</v>
      </c>
      <c r="AD12">
        <f>IF(ISBLANK(card_database!$AD$12),-1,card_database!$AD$12)</f>
        <v>-1</v>
      </c>
      <c r="AE12">
        <f>IF(ISBLANK(card_database!$AE$12),-1,card_database!$AE$12)</f>
        <v>-1</v>
      </c>
      <c r="AF12">
        <f>IF(ISBLANK(card_database!$AF$12),-1,MATCH(card_database!$AF$12,効果, 0) - 1)</f>
        <v>-1</v>
      </c>
      <c r="AG12">
        <f>IF(ISBLANK(card_database!$AG$12),-1,card_database!$AG$12)</f>
        <v>-1</v>
      </c>
      <c r="AH12">
        <f>IF(ISBLANK(card_database!$AH$12),-1,card_database!$AH$12)</f>
        <v>-1</v>
      </c>
      <c r="AI12">
        <f>IF(ISBLANK(card_database!$AI$12),-1,MATCH(card_database!$AI$12,条件, 0) - 1)</f>
        <v>-1</v>
      </c>
      <c r="AJ12">
        <f>IF(ISBLANK(card_database!$AJ$12),-1,card_database!$AJ$12)</f>
        <v>-1</v>
      </c>
      <c r="AK12">
        <f>IF(ISBLANK(card_database!$AK$12),-1,card_database!$AK$12)</f>
        <v>-1</v>
      </c>
      <c r="AL12">
        <f>IF(ISBLANK(card_database!$AL$12),-1,MATCH(card_database!$AL$12,わざ, 0) - 1)</f>
        <v>-1</v>
      </c>
      <c r="AM12">
        <f>IF(ISBLANK(card_database!$AM$12),-1,card_database!$AM$12)</f>
        <v>-1</v>
      </c>
      <c r="AN12">
        <f>IF(ISBLANK(card_database!$AN$12),-1,card_database!$AN$12)</f>
        <v>-1</v>
      </c>
      <c r="AO12">
        <f>IF(ISBLANK(card_database!$AO$12),-1,MATCH(card_database!$AO$12,条件, 0) - 1)</f>
        <v>-1</v>
      </c>
      <c r="AP12">
        <f>IF(ISBLANK(card_database!$AP$12),-1,card_database!$AP$12)</f>
        <v>-1</v>
      </c>
      <c r="AQ12">
        <f>IF(ISBLANK(card_database!$AQ$12),-1,card_database!$AQ$12)</f>
        <v>-1</v>
      </c>
      <c r="AR12">
        <f>IF(ISBLANK(card_database!$AR$12),-1,MATCH(card_database!$AR$12,わざ, 0) - 1)</f>
        <v>-1</v>
      </c>
      <c r="AS12">
        <f>IF(ISBLANK(card_database!$AS$12),-1,card_database!$AS$12)</f>
        <v>-1</v>
      </c>
      <c r="AT12">
        <f>IF(ISBLANK(card_database!$AT$12),-1,card_database!$AT$12)</f>
        <v>-1</v>
      </c>
      <c r="AU12">
        <f>IF(ISBLANK(card_database!$AU$12),-1,MATCH(card_database!$AU$12,条件, 0) - 1)</f>
        <v>-1</v>
      </c>
      <c r="AV12">
        <f>IF(ISBLANK(card_database!$AV$12),-1,card_database!$AV$12)</f>
        <v>-1</v>
      </c>
      <c r="AW12">
        <f>IF(ISBLANK(card_database!$AW$12),-1,card_database!$AW$12)</f>
        <v>-1</v>
      </c>
      <c r="AX12">
        <f>IF(ISBLANK(card_database!$AX$12),-1,MATCH(card_database!$AX$12,わざ, 0) - 1)</f>
        <v>-1</v>
      </c>
      <c r="AY12">
        <f>IF(ISBLANK(card_database!$AY$12),-1,card_database!$AY$12)</f>
        <v>-1</v>
      </c>
      <c r="AZ12">
        <f>IF(ISBLANK(card_database!$AZ$12),-1,card_database!$AZ$12)</f>
        <v>-1</v>
      </c>
      <c r="BA12">
        <f>IF(ISBLANK(card_database!$BA$12),-1,MATCH(card_database!$BA$12,条件, 0) - 1)</f>
        <v>-1</v>
      </c>
      <c r="BB12">
        <f>IF(ISBLANK(card_database!$BB$12),-1,card_database!$BB$12)</f>
        <v>-1</v>
      </c>
      <c r="BC12">
        <f>IF(ISBLANK(card_database!$BC$12),-1,card_database!$BC$12)</f>
        <v>-1</v>
      </c>
      <c r="BD12">
        <f>IF(ISBLANK(card_database!$BD$12),-1,MATCH(card_database!$BD$12,わざ, 0) - 1)</f>
        <v>-1</v>
      </c>
      <c r="BE12">
        <f>IF(ISBLANK(card_database!$BE$12),-1,card_database!$BE$12)</f>
        <v>-1</v>
      </c>
      <c r="BF12">
        <f>IF(ISBLANK(card_database!$BF$12),-1,card_database!$BF$12)</f>
        <v>-1</v>
      </c>
      <c r="BG12">
        <f>IF(ISBLANK(card_database!$BG$12),-1,card_database!$BG$12)</f>
        <v>-1</v>
      </c>
      <c r="BH12">
        <f>IF(ISBLANK(card_database!$BB$12),-1,card_database!$BB$12)</f>
        <v>-1</v>
      </c>
      <c r="BI12">
        <f>IF(ISBLANK(card_database!$BC$12),-1,card_database!$BC$12)</f>
        <v>-1</v>
      </c>
      <c r="BJ12">
        <f>IF(ISBLANK(card_database!$BD$12),-1,MATCH(card_database!$BD$12,わざ, 0) - 1)</f>
        <v>-1</v>
      </c>
    </row>
    <row r="13" spans="1:62" x14ac:dyDescent="0.55000000000000004">
      <c r="A13">
        <f>IF(ISBLANK(card_database!$A$13),-1,card_database!$A$13)</f>
        <v>7</v>
      </c>
      <c r="B13" t="str">
        <f>IF(ISBLANK(card_database!$B$13),-1,card_database!$B$13)</f>
        <v>キーメイス</v>
      </c>
      <c r="C13" t="str">
        <f>IF(ISBLANK(card_database!$C$13),-1,card_database!$C$13)</f>
        <v>とても小さな天使。かわいらしさに負け、誰でも心を開いてしまう。</v>
      </c>
      <c r="D13">
        <f>IF(ISBLANK(card_database!$D$13),-1,card_database!$D$13)</f>
        <v>7</v>
      </c>
      <c r="E13">
        <f>IF(ISBLANK(card_database!$E$13),-1,MATCH(card_database!$E$13,タイプ, 0) - 1)</f>
        <v>-1</v>
      </c>
      <c r="F13">
        <f>IF(ISBLANK(card_database!$F$13),-1,MATCH(card_database!$F$13,タイプ詳細, 0) - 1)</f>
        <v>-1</v>
      </c>
      <c r="G13">
        <f>IF(ISBLANK(card_database!$G$13),-1,card_database!$G$13)</f>
        <v>-1</v>
      </c>
      <c r="H13">
        <f>IF(ISBLANK(card_database!$H$13),-1,card_database!$H$13)</f>
        <v>-1</v>
      </c>
      <c r="I13">
        <f>IF(ISBLANK(card_database!$I$13),-1,MATCH(card_database!$I$13,属性, 0) - 1)</f>
        <v>-1</v>
      </c>
      <c r="J13">
        <f>IF(ISBLANK(card_database!$J$13),-1,MATCH(card_database!$J$13,種族, 0) - 1)</f>
        <v>-1</v>
      </c>
      <c r="K13">
        <f>IF(ISBLANK(card_database!$K$13),-1,card_database!$K$13)</f>
        <v>-1</v>
      </c>
      <c r="L13">
        <f>IF(ISBLANK(card_database!$L$13),-1,card_database!$L$13)</f>
        <v>-1</v>
      </c>
      <c r="M13">
        <f>IF(ISBLANK(card_database!$M$13),-1,card_database!$M$13)</f>
        <v>-1</v>
      </c>
      <c r="N13">
        <f>IF(ISBLANK(card_database!$N$13),-1,card_database!$N$13)</f>
        <v>-1</v>
      </c>
      <c r="O13">
        <f>IF(ISBLANK(card_database!$O$13),-1,card_database!$O$13)</f>
        <v>-1</v>
      </c>
      <c r="P13">
        <f>IF(ISBLANK(card_database!$P$13),-1,MATCH(card_database!$P$13,条件, 0) - 1)</f>
        <v>-1</v>
      </c>
      <c r="Q13">
        <f>IF(ISBLANK(card_database!$Q$13),-1,MATCH(card_database!$Q$13,条件, 0) - 1)</f>
        <v>-1</v>
      </c>
      <c r="R13">
        <f>IF(ISBLANK(card_database!$R$13),-1,card_database!$R$13)</f>
        <v>-1</v>
      </c>
      <c r="S13">
        <f>IF(ISBLANK(card_database!$S$13),-1,card_database!$S$13)</f>
        <v>-1</v>
      </c>
      <c r="T13">
        <f>IF(ISBLANK(card_database!$T$13),-1,MATCH(card_database!$T$13,効果, 0) - 1)</f>
        <v>-1</v>
      </c>
      <c r="U13">
        <f>IF(ISBLANK(card_database!$U$13),-1,card_database!$U$13)</f>
        <v>-1</v>
      </c>
      <c r="V13">
        <f>IF(ISBLANK(card_database!$V$13),-1,card_database!$V$13)</f>
        <v>-1</v>
      </c>
      <c r="W13">
        <f>IF(ISBLANK(card_database!$W$13),-1,MATCH(card_database!$W$13,条件, 0) - 1)</f>
        <v>-1</v>
      </c>
      <c r="X13">
        <f>IF(ISBLANK(card_database!$X$13),-1,card_database!$X$13)</f>
        <v>-1</v>
      </c>
      <c r="Y13">
        <f>IF(ISBLANK(card_database!$Y$13),-1,card_database!$Y$13)</f>
        <v>-1</v>
      </c>
      <c r="Z13">
        <f>IF(ISBLANK(card_database!$Z$13),-1,MATCH(card_database!$Z$13,効果, 0) - 1)</f>
        <v>-1</v>
      </c>
      <c r="AA13">
        <f>IF(ISBLANK(card_database!$AA$13),-1,card_database!$AA$13)</f>
        <v>-1</v>
      </c>
      <c r="AB13">
        <f>IF(ISBLANK(card_database!$AB$13),-1,card_database!$AB$13)</f>
        <v>-1</v>
      </c>
      <c r="AC13">
        <f>IF(ISBLANK(card_database!$AC$13),-1,MATCH(card_database!$AC$13,条件, 0) - 1)</f>
        <v>-1</v>
      </c>
      <c r="AD13">
        <f>IF(ISBLANK(card_database!$AD$13),-1,card_database!$AD$13)</f>
        <v>-1</v>
      </c>
      <c r="AE13">
        <f>IF(ISBLANK(card_database!$AE$13),-1,card_database!$AE$13)</f>
        <v>-1</v>
      </c>
      <c r="AF13">
        <f>IF(ISBLANK(card_database!$AF$13),-1,MATCH(card_database!$AF$13,効果, 0) - 1)</f>
        <v>-1</v>
      </c>
      <c r="AG13">
        <f>IF(ISBLANK(card_database!$AG$13),-1,card_database!$AG$13)</f>
        <v>-1</v>
      </c>
      <c r="AH13">
        <f>IF(ISBLANK(card_database!$AH$13),-1,card_database!$AH$13)</f>
        <v>-1</v>
      </c>
      <c r="AI13">
        <f>IF(ISBLANK(card_database!$AI$13),-1,MATCH(card_database!$AI$13,条件, 0) - 1)</f>
        <v>-1</v>
      </c>
      <c r="AJ13">
        <f>IF(ISBLANK(card_database!$AJ$13),-1,card_database!$AJ$13)</f>
        <v>-1</v>
      </c>
      <c r="AK13">
        <f>IF(ISBLANK(card_database!$AK$13),-1,card_database!$AK$13)</f>
        <v>-1</v>
      </c>
      <c r="AL13">
        <f>IF(ISBLANK(card_database!$AL$13),-1,MATCH(card_database!$AL$13,わざ, 0) - 1)</f>
        <v>-1</v>
      </c>
      <c r="AM13">
        <f>IF(ISBLANK(card_database!$AM$13),-1,card_database!$AM$13)</f>
        <v>-1</v>
      </c>
      <c r="AN13">
        <f>IF(ISBLANK(card_database!$AN$13),-1,card_database!$AN$13)</f>
        <v>-1</v>
      </c>
      <c r="AO13">
        <f>IF(ISBLANK(card_database!$AO$13),-1,MATCH(card_database!$AO$13,条件, 0) - 1)</f>
        <v>-1</v>
      </c>
      <c r="AP13">
        <f>IF(ISBLANK(card_database!$AP$13),-1,card_database!$AP$13)</f>
        <v>-1</v>
      </c>
      <c r="AQ13">
        <f>IF(ISBLANK(card_database!$AQ$13),-1,card_database!$AQ$13)</f>
        <v>-1</v>
      </c>
      <c r="AR13">
        <f>IF(ISBLANK(card_database!$AR$13),-1,MATCH(card_database!$AR$13,わざ, 0) - 1)</f>
        <v>-1</v>
      </c>
      <c r="AS13">
        <f>IF(ISBLANK(card_database!$AS$13),-1,card_database!$AS$13)</f>
        <v>-1</v>
      </c>
      <c r="AT13">
        <f>IF(ISBLANK(card_database!$AT$13),-1,card_database!$AT$13)</f>
        <v>-1</v>
      </c>
      <c r="AU13">
        <f>IF(ISBLANK(card_database!$AU$13),-1,MATCH(card_database!$AU$13,条件, 0) - 1)</f>
        <v>-1</v>
      </c>
      <c r="AV13">
        <f>IF(ISBLANK(card_database!$AV$13),-1,card_database!$AV$13)</f>
        <v>-1</v>
      </c>
      <c r="AW13">
        <f>IF(ISBLANK(card_database!$AW$13),-1,card_database!$AW$13)</f>
        <v>-1</v>
      </c>
      <c r="AX13">
        <f>IF(ISBLANK(card_database!$AX$13),-1,MATCH(card_database!$AX$13,わざ, 0) - 1)</f>
        <v>-1</v>
      </c>
      <c r="AY13">
        <f>IF(ISBLANK(card_database!$AY$13),-1,card_database!$AY$13)</f>
        <v>-1</v>
      </c>
      <c r="AZ13">
        <f>IF(ISBLANK(card_database!$AZ$13),-1,card_database!$AZ$13)</f>
        <v>-1</v>
      </c>
      <c r="BA13">
        <f>IF(ISBLANK(card_database!$BA$13),-1,MATCH(card_database!$BA$13,条件, 0) - 1)</f>
        <v>-1</v>
      </c>
      <c r="BB13">
        <f>IF(ISBLANK(card_database!$BB$13),-1,card_database!$BB$13)</f>
        <v>-1</v>
      </c>
      <c r="BC13">
        <f>IF(ISBLANK(card_database!$BC$13),-1,card_database!$BC$13)</f>
        <v>-1</v>
      </c>
      <c r="BD13">
        <f>IF(ISBLANK(card_database!$BD$13),-1,MATCH(card_database!$BD$13,わざ, 0) - 1)</f>
        <v>-1</v>
      </c>
      <c r="BE13">
        <f>IF(ISBLANK(card_database!$BE$13),-1,card_database!$BE$13)</f>
        <v>-1</v>
      </c>
      <c r="BF13">
        <f>IF(ISBLANK(card_database!$BF$13),-1,card_database!$BF$13)</f>
        <v>-1</v>
      </c>
      <c r="BG13">
        <f>IF(ISBLANK(card_database!$BG$13),-1,card_database!$BG$13)</f>
        <v>-1</v>
      </c>
      <c r="BH13">
        <f>IF(ISBLANK(card_database!$BB$13),-1,card_database!$BB$13)</f>
        <v>-1</v>
      </c>
      <c r="BI13">
        <f>IF(ISBLANK(card_database!$BC$13),-1,card_database!$BC$13)</f>
        <v>-1</v>
      </c>
      <c r="BJ13">
        <f>IF(ISBLANK(card_database!$BD$13),-1,MATCH(card_database!$BD$13,わざ, 0) - 1)</f>
        <v>-1</v>
      </c>
    </row>
    <row r="14" spans="1:62" x14ac:dyDescent="0.55000000000000004">
      <c r="A14">
        <f>IF(ISBLANK(card_database!$A$14),-1,card_database!$A$14)</f>
        <v>8</v>
      </c>
      <c r="B14" t="str">
        <f>IF(ISBLANK(card_database!$B$14),-1,card_database!$B$14)</f>
        <v>北風と太陽</v>
      </c>
      <c r="C14" t="str">
        <f>IF(ISBLANK(card_database!$C$14),-1,card_database!$C$14)</f>
        <v>仲の良い北風と太陽。かまいたちと熱光線で攻撃。</v>
      </c>
      <c r="D14">
        <f>IF(ISBLANK(card_database!$D$14),-1,card_database!$D$14)</f>
        <v>8</v>
      </c>
      <c r="E14">
        <f>IF(ISBLANK(card_database!$E$14),-1,MATCH(card_database!$E$14,タイプ, 0) - 1)</f>
        <v>-1</v>
      </c>
      <c r="F14">
        <f>IF(ISBLANK(card_database!$F$14),-1,MATCH(card_database!$F$14,タイプ詳細, 0) - 1)</f>
        <v>-1</v>
      </c>
      <c r="G14">
        <f>IF(ISBLANK(card_database!$G$14),-1,card_database!$G$14)</f>
        <v>-1</v>
      </c>
      <c r="H14">
        <f>IF(ISBLANK(card_database!$H$14),-1,card_database!$H$14)</f>
        <v>-1</v>
      </c>
      <c r="I14">
        <f>IF(ISBLANK(card_database!$I$14),-1,MATCH(card_database!$I$14,属性, 0) - 1)</f>
        <v>-1</v>
      </c>
      <c r="J14">
        <f>IF(ISBLANK(card_database!$J$14),-1,MATCH(card_database!$J$14,種族, 0) - 1)</f>
        <v>-1</v>
      </c>
      <c r="K14">
        <f>IF(ISBLANK(card_database!$K$14),-1,card_database!$K$14)</f>
        <v>-1</v>
      </c>
      <c r="L14">
        <f>IF(ISBLANK(card_database!$L$14),-1,card_database!$L$14)</f>
        <v>-1</v>
      </c>
      <c r="M14">
        <f>IF(ISBLANK(card_database!$M$14),-1,card_database!$M$14)</f>
        <v>-1</v>
      </c>
      <c r="N14">
        <f>IF(ISBLANK(card_database!$N$14),-1,card_database!$N$14)</f>
        <v>-1</v>
      </c>
      <c r="O14">
        <f>IF(ISBLANK(card_database!$O$14),-1,card_database!$O$14)</f>
        <v>-1</v>
      </c>
      <c r="P14">
        <f>IF(ISBLANK(card_database!$P$14),-1,MATCH(card_database!$P$14,条件, 0) - 1)</f>
        <v>-1</v>
      </c>
      <c r="Q14">
        <f>IF(ISBLANK(card_database!$Q$14),-1,MATCH(card_database!$Q$14,条件, 0) - 1)</f>
        <v>-1</v>
      </c>
      <c r="R14">
        <f>IF(ISBLANK(card_database!$R$14),-1,card_database!$R$14)</f>
        <v>-1</v>
      </c>
      <c r="S14">
        <f>IF(ISBLANK(card_database!$S$14),-1,card_database!$S$14)</f>
        <v>-1</v>
      </c>
      <c r="T14">
        <f>IF(ISBLANK(card_database!$T$14),-1,MATCH(card_database!$T$14,効果, 0) - 1)</f>
        <v>-1</v>
      </c>
      <c r="U14">
        <f>IF(ISBLANK(card_database!$U$14),-1,card_database!$U$14)</f>
        <v>-1</v>
      </c>
      <c r="V14">
        <f>IF(ISBLANK(card_database!$V$14),-1,card_database!$V$14)</f>
        <v>-1</v>
      </c>
      <c r="W14">
        <f>IF(ISBLANK(card_database!$W$14),-1,MATCH(card_database!$W$14,条件, 0) - 1)</f>
        <v>-1</v>
      </c>
      <c r="X14">
        <f>IF(ISBLANK(card_database!$X$14),-1,card_database!$X$14)</f>
        <v>-1</v>
      </c>
      <c r="Y14">
        <f>IF(ISBLANK(card_database!$Y$14),-1,card_database!$Y$14)</f>
        <v>-1</v>
      </c>
      <c r="Z14">
        <f>IF(ISBLANK(card_database!$Z$14),-1,MATCH(card_database!$Z$14,効果, 0) - 1)</f>
        <v>-1</v>
      </c>
      <c r="AA14">
        <f>IF(ISBLANK(card_database!$AA$14),-1,card_database!$AA$14)</f>
        <v>-1</v>
      </c>
      <c r="AB14">
        <f>IF(ISBLANK(card_database!$AB$14),-1,card_database!$AB$14)</f>
        <v>-1</v>
      </c>
      <c r="AC14">
        <f>IF(ISBLANK(card_database!$AC$14),-1,MATCH(card_database!$AC$14,条件, 0) - 1)</f>
        <v>-1</v>
      </c>
      <c r="AD14">
        <f>IF(ISBLANK(card_database!$AD$14),-1,card_database!$AD$14)</f>
        <v>-1</v>
      </c>
      <c r="AE14">
        <f>IF(ISBLANK(card_database!$AE$14),-1,card_database!$AE$14)</f>
        <v>-1</v>
      </c>
      <c r="AF14">
        <f>IF(ISBLANK(card_database!$AF$14),-1,MATCH(card_database!$AF$14,効果, 0) - 1)</f>
        <v>-1</v>
      </c>
      <c r="AG14">
        <f>IF(ISBLANK(card_database!$AG$14),-1,card_database!$AG$14)</f>
        <v>-1</v>
      </c>
      <c r="AH14">
        <f>IF(ISBLANK(card_database!$AH$14),-1,card_database!$AH$14)</f>
        <v>-1</v>
      </c>
      <c r="AI14">
        <f>IF(ISBLANK(card_database!$AI$14),-1,MATCH(card_database!$AI$14,条件, 0) - 1)</f>
        <v>-1</v>
      </c>
      <c r="AJ14">
        <f>IF(ISBLANK(card_database!$AJ$14),-1,card_database!$AJ$14)</f>
        <v>-1</v>
      </c>
      <c r="AK14">
        <f>IF(ISBLANK(card_database!$AK$14),-1,card_database!$AK$14)</f>
        <v>-1</v>
      </c>
      <c r="AL14">
        <f>IF(ISBLANK(card_database!$AL$14),-1,MATCH(card_database!$AL$14,わざ, 0) - 1)</f>
        <v>-1</v>
      </c>
      <c r="AM14">
        <f>IF(ISBLANK(card_database!$AM$14),-1,card_database!$AM$14)</f>
        <v>-1</v>
      </c>
      <c r="AN14">
        <f>IF(ISBLANK(card_database!$AN$14),-1,card_database!$AN$14)</f>
        <v>-1</v>
      </c>
      <c r="AO14">
        <f>IF(ISBLANK(card_database!$AO$14),-1,MATCH(card_database!$AO$14,条件, 0) - 1)</f>
        <v>-1</v>
      </c>
      <c r="AP14">
        <f>IF(ISBLANK(card_database!$AP$14),-1,card_database!$AP$14)</f>
        <v>-1</v>
      </c>
      <c r="AQ14">
        <f>IF(ISBLANK(card_database!$AQ$14),-1,card_database!$AQ$14)</f>
        <v>-1</v>
      </c>
      <c r="AR14">
        <f>IF(ISBLANK(card_database!$AR$14),-1,MATCH(card_database!$AR$14,わざ, 0) - 1)</f>
        <v>-1</v>
      </c>
      <c r="AS14">
        <f>IF(ISBLANK(card_database!$AS$14),-1,card_database!$AS$14)</f>
        <v>-1</v>
      </c>
      <c r="AT14">
        <f>IF(ISBLANK(card_database!$AT$14),-1,card_database!$AT$14)</f>
        <v>-1</v>
      </c>
      <c r="AU14">
        <f>IF(ISBLANK(card_database!$AU$14),-1,MATCH(card_database!$AU$14,条件, 0) - 1)</f>
        <v>-1</v>
      </c>
      <c r="AV14">
        <f>IF(ISBLANK(card_database!$AV$14),-1,card_database!$AV$14)</f>
        <v>-1</v>
      </c>
      <c r="AW14">
        <f>IF(ISBLANK(card_database!$AW$14),-1,card_database!$AW$14)</f>
        <v>-1</v>
      </c>
      <c r="AX14">
        <f>IF(ISBLANK(card_database!$AX$14),-1,MATCH(card_database!$AX$14,わざ, 0) - 1)</f>
        <v>-1</v>
      </c>
      <c r="AY14">
        <f>IF(ISBLANK(card_database!$AY$14),-1,card_database!$AY$14)</f>
        <v>-1</v>
      </c>
      <c r="AZ14">
        <f>IF(ISBLANK(card_database!$AZ$14),-1,card_database!$AZ$14)</f>
        <v>-1</v>
      </c>
      <c r="BA14">
        <f>IF(ISBLANK(card_database!$BA$14),-1,MATCH(card_database!$BA$14,条件, 0) - 1)</f>
        <v>-1</v>
      </c>
      <c r="BB14">
        <f>IF(ISBLANK(card_database!$BB$14),-1,card_database!$BB$14)</f>
        <v>-1</v>
      </c>
      <c r="BC14">
        <f>IF(ISBLANK(card_database!$BC$14),-1,card_database!$BC$14)</f>
        <v>-1</v>
      </c>
      <c r="BD14">
        <f>IF(ISBLANK(card_database!$BD$14),-1,MATCH(card_database!$BD$14,わざ, 0) - 1)</f>
        <v>-1</v>
      </c>
      <c r="BE14">
        <f>IF(ISBLANK(card_database!$BE$14),-1,card_database!$BE$14)</f>
        <v>-1</v>
      </c>
      <c r="BF14">
        <f>IF(ISBLANK(card_database!$BF$14),-1,card_database!$BF$14)</f>
        <v>-1</v>
      </c>
      <c r="BG14">
        <f>IF(ISBLANK(card_database!$BG$14),-1,card_database!$BG$14)</f>
        <v>-1</v>
      </c>
      <c r="BH14">
        <f>IF(ISBLANK(card_database!$BB$14),-1,card_database!$BB$14)</f>
        <v>-1</v>
      </c>
      <c r="BI14">
        <f>IF(ISBLANK(card_database!$BC$14),-1,card_database!$BC$14)</f>
        <v>-1</v>
      </c>
      <c r="BJ14">
        <f>IF(ISBLANK(card_database!$BD$14),-1,MATCH(card_database!$BD$14,わざ, 0) - 1)</f>
        <v>-1</v>
      </c>
    </row>
    <row r="15" spans="1:62" x14ac:dyDescent="0.55000000000000004">
      <c r="A15">
        <f>IF(ISBLANK(card_database!$A$15),-1,card_database!$A$15)</f>
        <v>9</v>
      </c>
      <c r="B15" t="str">
        <f>IF(ISBLANK(card_database!$B$15),-1,card_database!$B$15)</f>
        <v>キング・スモーク</v>
      </c>
      <c r="C15" t="str">
        <f>IF(ISBLANK(card_database!$C$15),-1,card_database!$C$15)</f>
        <v>煙の中にひそむ悪魔。まわりを煙でおおい、見えなくしてしまう。</v>
      </c>
      <c r="D15">
        <f>IF(ISBLANK(card_database!$D$15),-1,card_database!$D$15)</f>
        <v>9</v>
      </c>
      <c r="E15">
        <f>IF(ISBLANK(card_database!$E$15),-1,MATCH(card_database!$E$15,タイプ, 0) - 1)</f>
        <v>-1</v>
      </c>
      <c r="F15">
        <f>IF(ISBLANK(card_database!$F$15),-1,MATCH(card_database!$F$15,タイプ詳細, 0) - 1)</f>
        <v>-1</v>
      </c>
      <c r="G15">
        <f>IF(ISBLANK(card_database!$G$15),-1,card_database!$G$15)</f>
        <v>-1</v>
      </c>
      <c r="H15">
        <f>IF(ISBLANK(card_database!$H$15),-1,card_database!$H$15)</f>
        <v>-1</v>
      </c>
      <c r="I15">
        <f>IF(ISBLANK(card_database!$I$15),-1,MATCH(card_database!$I$15,属性, 0) - 1)</f>
        <v>-1</v>
      </c>
      <c r="J15">
        <f>IF(ISBLANK(card_database!$J$15),-1,MATCH(card_database!$J$15,種族, 0) - 1)</f>
        <v>-1</v>
      </c>
      <c r="K15">
        <f>IF(ISBLANK(card_database!$K$15),-1,card_database!$K$15)</f>
        <v>-1</v>
      </c>
      <c r="L15">
        <f>IF(ISBLANK(card_database!$L$15),-1,card_database!$L$15)</f>
        <v>-1</v>
      </c>
      <c r="M15">
        <f>IF(ISBLANK(card_database!$M$15),-1,card_database!$M$15)</f>
        <v>-1</v>
      </c>
      <c r="N15">
        <f>IF(ISBLANK(card_database!$N$15),-1,card_database!$N$15)</f>
        <v>-1</v>
      </c>
      <c r="O15">
        <f>IF(ISBLANK(card_database!$O$15),-1,card_database!$O$15)</f>
        <v>-1</v>
      </c>
      <c r="P15">
        <f>IF(ISBLANK(card_database!$P$15),-1,MATCH(card_database!$P$15,条件, 0) - 1)</f>
        <v>-1</v>
      </c>
      <c r="Q15">
        <f>IF(ISBLANK(card_database!$Q$15),-1,MATCH(card_database!$Q$15,条件, 0) - 1)</f>
        <v>-1</v>
      </c>
      <c r="R15">
        <f>IF(ISBLANK(card_database!$R$15),-1,card_database!$R$15)</f>
        <v>-1</v>
      </c>
      <c r="S15">
        <f>IF(ISBLANK(card_database!$S$15),-1,card_database!$S$15)</f>
        <v>-1</v>
      </c>
      <c r="T15">
        <f>IF(ISBLANK(card_database!$T$15),-1,MATCH(card_database!$T$15,効果, 0) - 1)</f>
        <v>-1</v>
      </c>
      <c r="U15">
        <f>IF(ISBLANK(card_database!$U$15),-1,card_database!$U$15)</f>
        <v>-1</v>
      </c>
      <c r="V15">
        <f>IF(ISBLANK(card_database!$V$15),-1,card_database!$V$15)</f>
        <v>-1</v>
      </c>
      <c r="W15">
        <f>IF(ISBLANK(card_database!$W$15),-1,MATCH(card_database!$W$15,条件, 0) - 1)</f>
        <v>-1</v>
      </c>
      <c r="X15">
        <f>IF(ISBLANK(card_database!$X$15),-1,card_database!$X$15)</f>
        <v>-1</v>
      </c>
      <c r="Y15">
        <f>IF(ISBLANK(card_database!$Y$15),-1,card_database!$Y$15)</f>
        <v>-1</v>
      </c>
      <c r="Z15">
        <f>IF(ISBLANK(card_database!$Z$15),-1,MATCH(card_database!$Z$15,効果, 0) - 1)</f>
        <v>-1</v>
      </c>
      <c r="AA15">
        <f>IF(ISBLANK(card_database!$AA$15),-1,card_database!$AA$15)</f>
        <v>-1</v>
      </c>
      <c r="AB15">
        <f>IF(ISBLANK(card_database!$AB$15),-1,card_database!$AB$15)</f>
        <v>-1</v>
      </c>
      <c r="AC15">
        <f>IF(ISBLANK(card_database!$AC$15),-1,MATCH(card_database!$AC$15,条件, 0) - 1)</f>
        <v>-1</v>
      </c>
      <c r="AD15">
        <f>IF(ISBLANK(card_database!$AD$15),-1,card_database!$AD$15)</f>
        <v>-1</v>
      </c>
      <c r="AE15">
        <f>IF(ISBLANK(card_database!$AE$15),-1,card_database!$AE$15)</f>
        <v>-1</v>
      </c>
      <c r="AF15">
        <f>IF(ISBLANK(card_database!$AF$15),-1,MATCH(card_database!$AF$15,効果, 0) - 1)</f>
        <v>-1</v>
      </c>
      <c r="AG15">
        <f>IF(ISBLANK(card_database!$AG$15),-1,card_database!$AG$15)</f>
        <v>-1</v>
      </c>
      <c r="AH15">
        <f>IF(ISBLANK(card_database!$AH$15),-1,card_database!$AH$15)</f>
        <v>-1</v>
      </c>
      <c r="AI15">
        <f>IF(ISBLANK(card_database!$AI$15),-1,MATCH(card_database!$AI$15,条件, 0) - 1)</f>
        <v>-1</v>
      </c>
      <c r="AJ15">
        <f>IF(ISBLANK(card_database!$AJ$15),-1,card_database!$AJ$15)</f>
        <v>-1</v>
      </c>
      <c r="AK15">
        <f>IF(ISBLANK(card_database!$AK$15),-1,card_database!$AK$15)</f>
        <v>-1</v>
      </c>
      <c r="AL15">
        <f>IF(ISBLANK(card_database!$AL$15),-1,MATCH(card_database!$AL$15,わざ, 0) - 1)</f>
        <v>-1</v>
      </c>
      <c r="AM15">
        <f>IF(ISBLANK(card_database!$AM$15),-1,card_database!$AM$15)</f>
        <v>-1</v>
      </c>
      <c r="AN15">
        <f>IF(ISBLANK(card_database!$AN$15),-1,card_database!$AN$15)</f>
        <v>-1</v>
      </c>
      <c r="AO15">
        <f>IF(ISBLANK(card_database!$AO$15),-1,MATCH(card_database!$AO$15,条件, 0) - 1)</f>
        <v>-1</v>
      </c>
      <c r="AP15">
        <f>IF(ISBLANK(card_database!$AP$15),-1,card_database!$AP$15)</f>
        <v>-1</v>
      </c>
      <c r="AQ15">
        <f>IF(ISBLANK(card_database!$AQ$15),-1,card_database!$AQ$15)</f>
        <v>-1</v>
      </c>
      <c r="AR15">
        <f>IF(ISBLANK(card_database!$AR$15),-1,MATCH(card_database!$AR$15,わざ, 0) - 1)</f>
        <v>-1</v>
      </c>
      <c r="AS15">
        <f>IF(ISBLANK(card_database!$AS$15),-1,card_database!$AS$15)</f>
        <v>-1</v>
      </c>
      <c r="AT15">
        <f>IF(ISBLANK(card_database!$AT$15),-1,card_database!$AT$15)</f>
        <v>-1</v>
      </c>
      <c r="AU15">
        <f>IF(ISBLANK(card_database!$AU$15),-1,MATCH(card_database!$AU$15,条件, 0) - 1)</f>
        <v>-1</v>
      </c>
      <c r="AV15">
        <f>IF(ISBLANK(card_database!$AV$15),-1,card_database!$AV$15)</f>
        <v>-1</v>
      </c>
      <c r="AW15">
        <f>IF(ISBLANK(card_database!$AW$15),-1,card_database!$AW$15)</f>
        <v>-1</v>
      </c>
      <c r="AX15">
        <f>IF(ISBLANK(card_database!$AX$15),-1,MATCH(card_database!$AX$15,わざ, 0) - 1)</f>
        <v>-1</v>
      </c>
      <c r="AY15">
        <f>IF(ISBLANK(card_database!$AY$15),-1,card_database!$AY$15)</f>
        <v>-1</v>
      </c>
      <c r="AZ15">
        <f>IF(ISBLANK(card_database!$AZ$15),-1,card_database!$AZ$15)</f>
        <v>-1</v>
      </c>
      <c r="BA15">
        <f>IF(ISBLANK(card_database!$BA$15),-1,MATCH(card_database!$BA$15,条件, 0) - 1)</f>
        <v>-1</v>
      </c>
      <c r="BB15">
        <f>IF(ISBLANK(card_database!$BB$15),-1,card_database!$BB$15)</f>
        <v>-1</v>
      </c>
      <c r="BC15">
        <f>IF(ISBLANK(card_database!$BC$15),-1,card_database!$BC$15)</f>
        <v>-1</v>
      </c>
      <c r="BD15">
        <f>IF(ISBLANK(card_database!$BD$15),-1,MATCH(card_database!$BD$15,わざ, 0) - 1)</f>
        <v>-1</v>
      </c>
      <c r="BE15">
        <f>IF(ISBLANK(card_database!$BE$15),-1,card_database!$BE$15)</f>
        <v>-1</v>
      </c>
      <c r="BF15">
        <f>IF(ISBLANK(card_database!$BF$15),-1,card_database!$BF$15)</f>
        <v>-1</v>
      </c>
      <c r="BG15">
        <f>IF(ISBLANK(card_database!$BG$15),-1,card_database!$BG$15)</f>
        <v>-1</v>
      </c>
      <c r="BH15">
        <f>IF(ISBLANK(card_database!$BB$15),-1,card_database!$BB$15)</f>
        <v>-1</v>
      </c>
      <c r="BI15">
        <f>IF(ISBLANK(card_database!$BC$15),-1,card_database!$BC$15)</f>
        <v>-1</v>
      </c>
      <c r="BJ15">
        <f>IF(ISBLANK(card_database!$BD$15),-1,MATCH(card_database!$BD$15,わざ, 0) - 1)</f>
        <v>-1</v>
      </c>
    </row>
    <row r="16" spans="1:62" x14ac:dyDescent="0.55000000000000004">
      <c r="A16">
        <f>IF(ISBLANK(card_database!$A$16),-1,card_database!$A$16)</f>
        <v>10</v>
      </c>
      <c r="B16" t="str">
        <f>IF(ISBLANK(card_database!$B$16),-1,card_database!$B$16)</f>
        <v>深淵の冥王</v>
      </c>
      <c r="C16" t="str">
        <f>IF(ISBLANK(card_database!$C$16),-1,card_database!$C$16)</f>
        <v>冥界の王。かつて闇を全て支配するほどの力があったという。</v>
      </c>
      <c r="D16">
        <f>IF(ISBLANK(card_database!$D$16),-1,card_database!$D$16)</f>
        <v>10</v>
      </c>
      <c r="E16">
        <f>IF(ISBLANK(card_database!$E$16),-1,MATCH(card_database!$E$16,タイプ, 0) - 1)</f>
        <v>-1</v>
      </c>
      <c r="F16">
        <f>IF(ISBLANK(card_database!$F$16),-1,MATCH(card_database!$F$16,タイプ詳細, 0) - 1)</f>
        <v>-1</v>
      </c>
      <c r="G16">
        <f>IF(ISBLANK(card_database!$G$16),-1,card_database!$G$16)</f>
        <v>-1</v>
      </c>
      <c r="H16">
        <f>IF(ISBLANK(card_database!$H$16),-1,card_database!$H$16)</f>
        <v>-1</v>
      </c>
      <c r="I16">
        <f>IF(ISBLANK(card_database!$I$16),-1,MATCH(card_database!$I$16,属性, 0) - 1)</f>
        <v>-1</v>
      </c>
      <c r="J16">
        <f>IF(ISBLANK(card_database!$J$16),-1,MATCH(card_database!$J$16,種族, 0) - 1)</f>
        <v>-1</v>
      </c>
      <c r="K16">
        <f>IF(ISBLANK(card_database!$K$16),-1,card_database!$K$16)</f>
        <v>-1</v>
      </c>
      <c r="L16">
        <f>IF(ISBLANK(card_database!$L$16),-1,card_database!$L$16)</f>
        <v>-1</v>
      </c>
      <c r="M16">
        <f>IF(ISBLANK(card_database!$M$16),-1,card_database!$M$16)</f>
        <v>-1</v>
      </c>
      <c r="N16">
        <f>IF(ISBLANK(card_database!$N$16),-1,card_database!$N$16)</f>
        <v>-1</v>
      </c>
      <c r="O16">
        <f>IF(ISBLANK(card_database!$O$16),-1,card_database!$O$16)</f>
        <v>-1</v>
      </c>
      <c r="P16">
        <f>IF(ISBLANK(card_database!$P$16),-1,MATCH(card_database!$P$16,条件, 0) - 1)</f>
        <v>-1</v>
      </c>
      <c r="Q16">
        <f>IF(ISBLANK(card_database!$Q$16),-1,MATCH(card_database!$Q$16,条件, 0) - 1)</f>
        <v>-1</v>
      </c>
      <c r="R16">
        <f>IF(ISBLANK(card_database!$R$16),-1,card_database!$R$16)</f>
        <v>-1</v>
      </c>
      <c r="S16">
        <f>IF(ISBLANK(card_database!$S$16),-1,card_database!$S$16)</f>
        <v>-1</v>
      </c>
      <c r="T16">
        <f>IF(ISBLANK(card_database!$T$16),-1,MATCH(card_database!$T$16,効果, 0) - 1)</f>
        <v>-1</v>
      </c>
      <c r="U16">
        <f>IF(ISBLANK(card_database!$U$16),-1,card_database!$U$16)</f>
        <v>-1</v>
      </c>
      <c r="V16">
        <f>IF(ISBLANK(card_database!$V$16),-1,card_database!$V$16)</f>
        <v>-1</v>
      </c>
      <c r="W16">
        <f>IF(ISBLANK(card_database!$W$16),-1,MATCH(card_database!$W$16,条件, 0) - 1)</f>
        <v>-1</v>
      </c>
      <c r="X16">
        <f>IF(ISBLANK(card_database!$X$16),-1,card_database!$X$16)</f>
        <v>-1</v>
      </c>
      <c r="Y16">
        <f>IF(ISBLANK(card_database!$Y$16),-1,card_database!$Y$16)</f>
        <v>-1</v>
      </c>
      <c r="Z16">
        <f>IF(ISBLANK(card_database!$Z$16),-1,MATCH(card_database!$Z$16,効果, 0) - 1)</f>
        <v>-1</v>
      </c>
      <c r="AA16">
        <f>IF(ISBLANK(card_database!$AA$16),-1,card_database!$AA$16)</f>
        <v>-1</v>
      </c>
      <c r="AB16">
        <f>IF(ISBLANK(card_database!$AB$16),-1,card_database!$AB$16)</f>
        <v>-1</v>
      </c>
      <c r="AC16">
        <f>IF(ISBLANK(card_database!$AC$16),-1,MATCH(card_database!$AC$16,条件, 0) - 1)</f>
        <v>-1</v>
      </c>
      <c r="AD16">
        <f>IF(ISBLANK(card_database!$AD$16),-1,card_database!$AD$16)</f>
        <v>-1</v>
      </c>
      <c r="AE16">
        <f>IF(ISBLANK(card_database!$AE$16),-1,card_database!$AE$16)</f>
        <v>-1</v>
      </c>
      <c r="AF16">
        <f>IF(ISBLANK(card_database!$AF$16),-1,MATCH(card_database!$AF$16,効果, 0) - 1)</f>
        <v>-1</v>
      </c>
      <c r="AG16">
        <f>IF(ISBLANK(card_database!$AG$16),-1,card_database!$AG$16)</f>
        <v>-1</v>
      </c>
      <c r="AH16">
        <f>IF(ISBLANK(card_database!$AH$16),-1,card_database!$AH$16)</f>
        <v>-1</v>
      </c>
      <c r="AI16">
        <f>IF(ISBLANK(card_database!$AI$16),-1,MATCH(card_database!$AI$16,条件, 0) - 1)</f>
        <v>-1</v>
      </c>
      <c r="AJ16">
        <f>IF(ISBLANK(card_database!$AJ$16),-1,card_database!$AJ$16)</f>
        <v>-1</v>
      </c>
      <c r="AK16">
        <f>IF(ISBLANK(card_database!$AK$16),-1,card_database!$AK$16)</f>
        <v>-1</v>
      </c>
      <c r="AL16">
        <f>IF(ISBLANK(card_database!$AL$16),-1,MATCH(card_database!$AL$16,わざ, 0) - 1)</f>
        <v>-1</v>
      </c>
      <c r="AM16">
        <f>IF(ISBLANK(card_database!$AM$16),-1,card_database!$AM$16)</f>
        <v>-1</v>
      </c>
      <c r="AN16">
        <f>IF(ISBLANK(card_database!$AN$16),-1,card_database!$AN$16)</f>
        <v>-1</v>
      </c>
      <c r="AO16">
        <f>IF(ISBLANK(card_database!$AO$16),-1,MATCH(card_database!$AO$16,条件, 0) - 1)</f>
        <v>-1</v>
      </c>
      <c r="AP16">
        <f>IF(ISBLANK(card_database!$AP$16),-1,card_database!$AP$16)</f>
        <v>-1</v>
      </c>
      <c r="AQ16">
        <f>IF(ISBLANK(card_database!$AQ$16),-1,card_database!$AQ$16)</f>
        <v>-1</v>
      </c>
      <c r="AR16">
        <f>IF(ISBLANK(card_database!$AR$16),-1,MATCH(card_database!$AR$16,わざ, 0) - 1)</f>
        <v>-1</v>
      </c>
      <c r="AS16">
        <f>IF(ISBLANK(card_database!$AS$16),-1,card_database!$AS$16)</f>
        <v>-1</v>
      </c>
      <c r="AT16">
        <f>IF(ISBLANK(card_database!$AT$16),-1,card_database!$AT$16)</f>
        <v>-1</v>
      </c>
      <c r="AU16">
        <f>IF(ISBLANK(card_database!$AU$16),-1,MATCH(card_database!$AU$16,条件, 0) - 1)</f>
        <v>-1</v>
      </c>
      <c r="AV16">
        <f>IF(ISBLANK(card_database!$AV$16),-1,card_database!$AV$16)</f>
        <v>-1</v>
      </c>
      <c r="AW16">
        <f>IF(ISBLANK(card_database!$AW$16),-1,card_database!$AW$16)</f>
        <v>-1</v>
      </c>
      <c r="AX16">
        <f>IF(ISBLANK(card_database!$AX$16),-1,MATCH(card_database!$AX$16,わざ, 0) - 1)</f>
        <v>-1</v>
      </c>
      <c r="AY16">
        <f>IF(ISBLANK(card_database!$AY$16),-1,card_database!$AY$16)</f>
        <v>-1</v>
      </c>
      <c r="AZ16">
        <f>IF(ISBLANK(card_database!$AZ$16),-1,card_database!$AZ$16)</f>
        <v>-1</v>
      </c>
      <c r="BA16">
        <f>IF(ISBLANK(card_database!$BA$16),-1,MATCH(card_database!$BA$16,条件, 0) - 1)</f>
        <v>-1</v>
      </c>
      <c r="BB16">
        <f>IF(ISBLANK(card_database!$BB$16),-1,card_database!$BB$16)</f>
        <v>-1</v>
      </c>
      <c r="BC16">
        <f>IF(ISBLANK(card_database!$BC$16),-1,card_database!$BC$16)</f>
        <v>-1</v>
      </c>
      <c r="BD16">
        <f>IF(ISBLANK(card_database!$BD$16),-1,MATCH(card_database!$BD$16,わざ, 0) - 1)</f>
        <v>-1</v>
      </c>
      <c r="BE16">
        <f>IF(ISBLANK(card_database!$BE$16),-1,card_database!$BE$16)</f>
        <v>-1</v>
      </c>
      <c r="BF16">
        <f>IF(ISBLANK(card_database!$BF$16),-1,card_database!$BF$16)</f>
        <v>-1</v>
      </c>
      <c r="BG16">
        <f>IF(ISBLANK(card_database!$BG$16),-1,card_database!$BG$16)</f>
        <v>-1</v>
      </c>
      <c r="BH16">
        <f>IF(ISBLANK(card_database!$BB$16),-1,card_database!$BB$16)</f>
        <v>-1</v>
      </c>
      <c r="BI16">
        <f>IF(ISBLANK(card_database!$BC$16),-1,card_database!$BC$16)</f>
        <v>-1</v>
      </c>
      <c r="BJ16">
        <f>IF(ISBLANK(card_database!$BD$16),-1,MATCH(card_database!$BD$16,わざ, 0) - 1)</f>
        <v>-1</v>
      </c>
    </row>
    <row r="17" spans="1:62" x14ac:dyDescent="0.55000000000000004">
      <c r="A17">
        <f>IF(ISBLANK(card_database!$A$17),-1,card_database!$A$17)</f>
        <v>11</v>
      </c>
      <c r="B17" s="5" t="str">
        <f>IF(ISBLANK(card_database!$B$17),-1,card_database!$B$17)</f>
        <v>悟りの老樹</v>
      </c>
      <c r="C17" t="str">
        <f>IF(ISBLANK(card_database!$C$17),-1,card_database!$C$17)</f>
        <v>ありとあらゆる知識を駆使して、様々な攻撃を防ぐ。</v>
      </c>
      <c r="D17">
        <f>IF(ISBLANK(card_database!$D$17),-1,card_database!$D$17)</f>
        <v>11</v>
      </c>
      <c r="E17">
        <f>IF(ISBLANK(card_database!$E$17),-1,MATCH(card_database!$E$17,タイプ, 0) - 1)</f>
        <v>-1</v>
      </c>
      <c r="F17">
        <f>IF(ISBLANK(card_database!$F$17),-1,MATCH(card_database!$F$17,タイプ詳細, 0) - 1)</f>
        <v>-1</v>
      </c>
      <c r="G17">
        <f>IF(ISBLANK(card_database!$G$17),-1,card_database!$G$17)</f>
        <v>-1</v>
      </c>
      <c r="H17">
        <f>IF(ISBLANK(card_database!$H$17),-1,card_database!$H$17)</f>
        <v>-1</v>
      </c>
      <c r="I17">
        <f>IF(ISBLANK(card_database!$I$17),-1,MATCH(card_database!$I$17,属性, 0) - 1)</f>
        <v>-1</v>
      </c>
      <c r="J17">
        <f>IF(ISBLANK(card_database!$J$17),-1,MATCH(card_database!$J$17,種族, 0) - 1)</f>
        <v>-1</v>
      </c>
      <c r="K17">
        <f>IF(ISBLANK(card_database!$K$17),-1,card_database!$K$17)</f>
        <v>-1</v>
      </c>
      <c r="L17">
        <f>IF(ISBLANK(card_database!$L$17),-1,card_database!$L$17)</f>
        <v>-1</v>
      </c>
      <c r="M17">
        <f>IF(ISBLANK(card_database!$M$17),-1,card_database!$M$17)</f>
        <v>-1</v>
      </c>
      <c r="N17">
        <f>IF(ISBLANK(card_database!$N$17),-1,card_database!$N$17)</f>
        <v>-1</v>
      </c>
      <c r="O17">
        <f>IF(ISBLANK(card_database!$O$17),-1,card_database!$O$17)</f>
        <v>-1</v>
      </c>
      <c r="P17">
        <f>IF(ISBLANK(card_database!$P$17),-1,MATCH(card_database!$P$17,条件, 0) - 1)</f>
        <v>-1</v>
      </c>
      <c r="Q17">
        <f>IF(ISBLANK(card_database!$Q$17),-1,MATCH(card_database!$Q$17,条件, 0) - 1)</f>
        <v>-1</v>
      </c>
      <c r="R17">
        <f>IF(ISBLANK(card_database!$R$17),-1,card_database!$R$17)</f>
        <v>-1</v>
      </c>
      <c r="S17">
        <f>IF(ISBLANK(card_database!$S$17),-1,card_database!$S$17)</f>
        <v>-1</v>
      </c>
      <c r="T17">
        <f>IF(ISBLANK(card_database!$T$17),-1,MATCH(card_database!$T$17,効果, 0) - 1)</f>
        <v>-1</v>
      </c>
      <c r="U17">
        <f>IF(ISBLANK(card_database!$U$17),-1,card_database!$U$17)</f>
        <v>-1</v>
      </c>
      <c r="V17">
        <f>IF(ISBLANK(card_database!$V$17),-1,card_database!$V$17)</f>
        <v>-1</v>
      </c>
      <c r="W17">
        <f>IF(ISBLANK(card_database!$W$17),-1,MATCH(card_database!$W$17,条件, 0) - 1)</f>
        <v>-1</v>
      </c>
      <c r="X17">
        <f>IF(ISBLANK(card_database!$X$17),-1,card_database!$X$17)</f>
        <v>-1</v>
      </c>
      <c r="Y17">
        <f>IF(ISBLANK(card_database!$Y$17),-1,card_database!$Y$17)</f>
        <v>-1</v>
      </c>
      <c r="Z17">
        <f>IF(ISBLANK(card_database!$Z$17),-1,MATCH(card_database!$Z$17,効果, 0) - 1)</f>
        <v>-1</v>
      </c>
      <c r="AA17">
        <f>IF(ISBLANK(card_database!$AA$17),-1,card_database!$AA$17)</f>
        <v>-1</v>
      </c>
      <c r="AB17">
        <f>IF(ISBLANK(card_database!$AB$17),-1,card_database!$AB$17)</f>
        <v>-1</v>
      </c>
      <c r="AC17">
        <f>IF(ISBLANK(card_database!$AC$17),-1,MATCH(card_database!$AC$17,条件, 0) - 1)</f>
        <v>-1</v>
      </c>
      <c r="AD17">
        <f>IF(ISBLANK(card_database!$AD$17),-1,card_database!$AD$17)</f>
        <v>-1</v>
      </c>
      <c r="AE17">
        <f>IF(ISBLANK(card_database!$AE$17),-1,card_database!$AE$17)</f>
        <v>-1</v>
      </c>
      <c r="AF17">
        <f>IF(ISBLANK(card_database!$AF$17),-1,MATCH(card_database!$AF$17,効果, 0) - 1)</f>
        <v>-1</v>
      </c>
      <c r="AG17">
        <f>IF(ISBLANK(card_database!$AG$17),-1,card_database!$AG$17)</f>
        <v>-1</v>
      </c>
      <c r="AH17">
        <f>IF(ISBLANK(card_database!$AH$17),-1,card_database!$AH$17)</f>
        <v>-1</v>
      </c>
      <c r="AI17">
        <f>IF(ISBLANK(card_database!$AI$17),-1,MATCH(card_database!$AI$17,条件, 0) - 1)</f>
        <v>-1</v>
      </c>
      <c r="AJ17">
        <f>IF(ISBLANK(card_database!$AJ$17),-1,card_database!$AJ$17)</f>
        <v>-1</v>
      </c>
      <c r="AK17">
        <f>IF(ISBLANK(card_database!$AK$17),-1,card_database!$AK$17)</f>
        <v>-1</v>
      </c>
      <c r="AL17">
        <f>IF(ISBLANK(card_database!$AL$17),-1,MATCH(card_database!$AL$17,わざ, 0) - 1)</f>
        <v>-1</v>
      </c>
      <c r="AM17">
        <f>IF(ISBLANK(card_database!$AM$17),-1,card_database!$AM$17)</f>
        <v>-1</v>
      </c>
      <c r="AN17">
        <f>IF(ISBLANK(card_database!$AN$17),-1,card_database!$AN$17)</f>
        <v>-1</v>
      </c>
      <c r="AO17">
        <f>IF(ISBLANK(card_database!$AO$17),-1,MATCH(card_database!$AO$17,条件, 0) - 1)</f>
        <v>-1</v>
      </c>
      <c r="AP17">
        <f>IF(ISBLANK(card_database!$AP$17),-1,card_database!$AP$17)</f>
        <v>-1</v>
      </c>
      <c r="AQ17">
        <f>IF(ISBLANK(card_database!$AQ$17),-1,card_database!$AQ$17)</f>
        <v>-1</v>
      </c>
      <c r="AR17">
        <f>IF(ISBLANK(card_database!$AR$17),-1,MATCH(card_database!$AR$17,わざ, 0) - 1)</f>
        <v>-1</v>
      </c>
      <c r="AS17">
        <f>IF(ISBLANK(card_database!$AS$17),-1,card_database!$AS$17)</f>
        <v>-1</v>
      </c>
      <c r="AT17">
        <f>IF(ISBLANK(card_database!$AT$17),-1,card_database!$AT$17)</f>
        <v>-1</v>
      </c>
      <c r="AU17">
        <f>IF(ISBLANK(card_database!$AU$17),-1,MATCH(card_database!$AU$17,条件, 0) - 1)</f>
        <v>-1</v>
      </c>
      <c r="AV17">
        <f>IF(ISBLANK(card_database!$AV$17),-1,card_database!$AV$17)</f>
        <v>-1</v>
      </c>
      <c r="AW17">
        <f>IF(ISBLANK(card_database!$AW$17),-1,card_database!$AW$17)</f>
        <v>-1</v>
      </c>
      <c r="AX17">
        <f>IF(ISBLANK(card_database!$AX$17),-1,MATCH(card_database!$AX$17,わざ, 0) - 1)</f>
        <v>-1</v>
      </c>
      <c r="AY17">
        <f>IF(ISBLANK(card_database!$AY$17),-1,card_database!$AY$17)</f>
        <v>-1</v>
      </c>
      <c r="AZ17">
        <f>IF(ISBLANK(card_database!$AZ$17),-1,card_database!$AZ$17)</f>
        <v>-1</v>
      </c>
      <c r="BA17">
        <f>IF(ISBLANK(card_database!$BA$17),-1,MATCH(card_database!$BA$17,条件, 0) - 1)</f>
        <v>-1</v>
      </c>
      <c r="BB17">
        <f>IF(ISBLANK(card_database!$BB$17),-1,card_database!$BB$17)</f>
        <v>-1</v>
      </c>
      <c r="BC17">
        <f>IF(ISBLANK(card_database!$BC$17),-1,card_database!$BC$17)</f>
        <v>-1</v>
      </c>
      <c r="BD17">
        <f>IF(ISBLANK(card_database!$BD$17),-1,MATCH(card_database!$BD$17,わざ, 0) - 1)</f>
        <v>-1</v>
      </c>
      <c r="BE17">
        <f>IF(ISBLANK(card_database!$BE$17),-1,card_database!$BE$17)</f>
        <v>-1</v>
      </c>
      <c r="BF17">
        <f>IF(ISBLANK(card_database!$BF$17),-1,card_database!$BF$17)</f>
        <v>-1</v>
      </c>
      <c r="BG17">
        <f>IF(ISBLANK(card_database!$BG$17),-1,card_database!$BG$17)</f>
        <v>-1</v>
      </c>
      <c r="BH17">
        <f>IF(ISBLANK(card_database!$BB$17),-1,card_database!$BB$17)</f>
        <v>-1</v>
      </c>
      <c r="BI17">
        <f>IF(ISBLANK(card_database!$BC$17),-1,card_database!$BC$17)</f>
        <v>-1</v>
      </c>
      <c r="BJ17">
        <f>IF(ISBLANK(card_database!$BD$17),-1,MATCH(card_database!$BD$17,わざ, 0) - 1)</f>
        <v>-1</v>
      </c>
    </row>
    <row r="18" spans="1:62" x14ac:dyDescent="0.55000000000000004">
      <c r="A18">
        <f>IF(ISBLANK(card_database!$A$18),-1,card_database!$A$18)</f>
        <v>12</v>
      </c>
      <c r="B18" s="5" t="str">
        <f>IF(ISBLANK(card_database!$B$18),-1,card_database!$B$18)</f>
        <v>ジャグラー</v>
      </c>
      <c r="C18" t="str">
        <f>IF(ISBLANK(card_database!$C$18),-1,card_database!$C$18)</f>
        <v>手品のような魔法で敵を倒す。ハトを出して攻撃もする。</v>
      </c>
      <c r="D18">
        <f>IF(ISBLANK(card_database!$D$18),-1,card_database!$D$18)</f>
        <v>12</v>
      </c>
      <c r="E18">
        <f>IF(ISBLANK(card_database!$E$18),-1,MATCH(card_database!$E$18,タイプ, 0) - 1)</f>
        <v>-1</v>
      </c>
      <c r="F18">
        <f>IF(ISBLANK(card_database!$F$18),-1,MATCH(card_database!$F$18,タイプ詳細, 0) - 1)</f>
        <v>-1</v>
      </c>
      <c r="G18">
        <f>IF(ISBLANK(card_database!$G$18),-1,card_database!$G$18)</f>
        <v>-1</v>
      </c>
      <c r="H18">
        <f>IF(ISBLANK(card_database!$H$18),-1,card_database!$H$18)</f>
        <v>-1</v>
      </c>
      <c r="I18">
        <f>IF(ISBLANK(card_database!$I$18),-1,MATCH(card_database!$I$18,属性, 0) - 1)</f>
        <v>-1</v>
      </c>
      <c r="J18">
        <f>IF(ISBLANK(card_database!$J$18),-1,MATCH(card_database!$J$18,種族, 0) - 1)</f>
        <v>-1</v>
      </c>
      <c r="K18">
        <f>IF(ISBLANK(card_database!$K$18),-1,card_database!$K$18)</f>
        <v>-1</v>
      </c>
      <c r="L18">
        <f>IF(ISBLANK(card_database!$L$18),-1,card_database!$L$18)</f>
        <v>-1</v>
      </c>
      <c r="M18">
        <f>IF(ISBLANK(card_database!$M$18),-1,card_database!$M$18)</f>
        <v>-1</v>
      </c>
      <c r="N18">
        <f>IF(ISBLANK(card_database!$N$18),-1,card_database!$N$18)</f>
        <v>-1</v>
      </c>
      <c r="O18">
        <f>IF(ISBLANK(card_database!$O$18),-1,card_database!$O$18)</f>
        <v>-1</v>
      </c>
      <c r="P18">
        <f>IF(ISBLANK(card_database!$P$18),-1,MATCH(card_database!$P$18,条件, 0) - 1)</f>
        <v>-1</v>
      </c>
      <c r="Q18">
        <f>IF(ISBLANK(card_database!$Q$18),-1,MATCH(card_database!$Q$18,条件, 0) - 1)</f>
        <v>-1</v>
      </c>
      <c r="R18">
        <f>IF(ISBLANK(card_database!$R$18),-1,card_database!$R$18)</f>
        <v>-1</v>
      </c>
      <c r="S18">
        <f>IF(ISBLANK(card_database!$S$18),-1,card_database!$S$18)</f>
        <v>-1</v>
      </c>
      <c r="T18">
        <f>IF(ISBLANK(card_database!$T$18),-1,MATCH(card_database!$T$18,効果, 0) - 1)</f>
        <v>-1</v>
      </c>
      <c r="U18">
        <f>IF(ISBLANK(card_database!$U$18),-1,card_database!$U$18)</f>
        <v>-1</v>
      </c>
      <c r="V18">
        <f>IF(ISBLANK(card_database!$V$18),-1,card_database!$V$18)</f>
        <v>-1</v>
      </c>
      <c r="W18">
        <f>IF(ISBLANK(card_database!$W$18),-1,MATCH(card_database!$W$18,条件, 0) - 1)</f>
        <v>-1</v>
      </c>
      <c r="X18">
        <f>IF(ISBLANK(card_database!$X$18),-1,card_database!$X$18)</f>
        <v>-1</v>
      </c>
      <c r="Y18">
        <f>IF(ISBLANK(card_database!$Y$18),-1,card_database!$Y$18)</f>
        <v>-1</v>
      </c>
      <c r="Z18">
        <f>IF(ISBLANK(card_database!$Z$18),-1,MATCH(card_database!$Z$18,効果, 0) - 1)</f>
        <v>-1</v>
      </c>
      <c r="AA18">
        <f>IF(ISBLANK(card_database!$AA$18),-1,card_database!$AA$18)</f>
        <v>-1</v>
      </c>
      <c r="AB18">
        <f>IF(ISBLANK(card_database!$AB$18),-1,card_database!$AB$18)</f>
        <v>-1</v>
      </c>
      <c r="AC18">
        <f>IF(ISBLANK(card_database!$AC$18),-1,MATCH(card_database!$AC$18,条件, 0) - 1)</f>
        <v>-1</v>
      </c>
      <c r="AD18">
        <f>IF(ISBLANK(card_database!$AD$18),-1,card_database!$AD$18)</f>
        <v>-1</v>
      </c>
      <c r="AE18">
        <f>IF(ISBLANK(card_database!$AE$18),-1,card_database!$AE$18)</f>
        <v>-1</v>
      </c>
      <c r="AF18">
        <f>IF(ISBLANK(card_database!$AF$18),-1,MATCH(card_database!$AF$18,効果, 0) - 1)</f>
        <v>-1</v>
      </c>
      <c r="AG18">
        <f>IF(ISBLANK(card_database!$AG$18),-1,card_database!$AG$18)</f>
        <v>-1</v>
      </c>
      <c r="AH18">
        <f>IF(ISBLANK(card_database!$AH$18),-1,card_database!$AH$18)</f>
        <v>-1</v>
      </c>
      <c r="AI18">
        <f>IF(ISBLANK(card_database!$AI$18),-1,MATCH(card_database!$AI$18,条件, 0) - 1)</f>
        <v>-1</v>
      </c>
      <c r="AJ18">
        <f>IF(ISBLANK(card_database!$AJ$18),-1,card_database!$AJ$18)</f>
        <v>-1</v>
      </c>
      <c r="AK18">
        <f>IF(ISBLANK(card_database!$AK$18),-1,card_database!$AK$18)</f>
        <v>-1</v>
      </c>
      <c r="AL18">
        <f>IF(ISBLANK(card_database!$AL$18),-1,MATCH(card_database!$AL$18,わざ, 0) - 1)</f>
        <v>-1</v>
      </c>
      <c r="AM18">
        <f>IF(ISBLANK(card_database!$AM$18),-1,card_database!$AM$18)</f>
        <v>-1</v>
      </c>
      <c r="AN18">
        <f>IF(ISBLANK(card_database!$AN$18),-1,card_database!$AN$18)</f>
        <v>-1</v>
      </c>
      <c r="AO18">
        <f>IF(ISBLANK(card_database!$AO$18),-1,MATCH(card_database!$AO$18,条件, 0) - 1)</f>
        <v>-1</v>
      </c>
      <c r="AP18">
        <f>IF(ISBLANK(card_database!$AP$18),-1,card_database!$AP$18)</f>
        <v>-1</v>
      </c>
      <c r="AQ18">
        <f>IF(ISBLANK(card_database!$AQ$18),-1,card_database!$AQ$18)</f>
        <v>-1</v>
      </c>
      <c r="AR18">
        <f>IF(ISBLANK(card_database!$AR$18),-1,MATCH(card_database!$AR$18,わざ, 0) - 1)</f>
        <v>-1</v>
      </c>
      <c r="AS18">
        <f>IF(ISBLANK(card_database!$AS$18),-1,card_database!$AS$18)</f>
        <v>-1</v>
      </c>
      <c r="AT18">
        <f>IF(ISBLANK(card_database!$AT$18),-1,card_database!$AT$18)</f>
        <v>-1</v>
      </c>
      <c r="AU18">
        <f>IF(ISBLANK(card_database!$AU$18),-1,MATCH(card_database!$AU$18,条件, 0) - 1)</f>
        <v>-1</v>
      </c>
      <c r="AV18">
        <f>IF(ISBLANK(card_database!$AV$18),-1,card_database!$AV$18)</f>
        <v>-1</v>
      </c>
      <c r="AW18">
        <f>IF(ISBLANK(card_database!$AW$18),-1,card_database!$AW$18)</f>
        <v>-1</v>
      </c>
      <c r="AX18">
        <f>IF(ISBLANK(card_database!$AX$18),-1,MATCH(card_database!$AX$18,わざ, 0) - 1)</f>
        <v>-1</v>
      </c>
      <c r="AY18">
        <f>IF(ISBLANK(card_database!$AY$18),-1,card_database!$AY$18)</f>
        <v>-1</v>
      </c>
      <c r="AZ18">
        <f>IF(ISBLANK(card_database!$AZ$18),-1,card_database!$AZ$18)</f>
        <v>-1</v>
      </c>
      <c r="BA18">
        <f>IF(ISBLANK(card_database!$BA$18),-1,MATCH(card_database!$BA$18,条件, 0) - 1)</f>
        <v>-1</v>
      </c>
      <c r="BB18">
        <f>IF(ISBLANK(card_database!$BB$18),-1,card_database!$BB$18)</f>
        <v>-1</v>
      </c>
      <c r="BC18">
        <f>IF(ISBLANK(card_database!$BC$18),-1,card_database!$BC$18)</f>
        <v>-1</v>
      </c>
      <c r="BD18">
        <f>IF(ISBLANK(card_database!$BD$18),-1,MATCH(card_database!$BD$18,わざ, 0) - 1)</f>
        <v>-1</v>
      </c>
      <c r="BE18">
        <f>IF(ISBLANK(card_database!$BE$18),-1,card_database!$BE$18)</f>
        <v>-1</v>
      </c>
      <c r="BF18">
        <f>IF(ISBLANK(card_database!$BF$18),-1,card_database!$BF$18)</f>
        <v>-1</v>
      </c>
      <c r="BG18">
        <f>IF(ISBLANK(card_database!$BG$18),-1,card_database!$BG$18)</f>
        <v>-1</v>
      </c>
      <c r="BH18">
        <f>IF(ISBLANK(card_database!$BB$18),-1,card_database!$BB$18)</f>
        <v>-1</v>
      </c>
      <c r="BI18">
        <f>IF(ISBLANK(card_database!$BC$18),-1,card_database!$BC$18)</f>
        <v>-1</v>
      </c>
      <c r="BJ18">
        <f>IF(ISBLANK(card_database!$BD$18),-1,MATCH(card_database!$BD$18,わざ, 0) - 1)</f>
        <v>-1</v>
      </c>
    </row>
    <row r="19" spans="1:62" x14ac:dyDescent="0.55000000000000004">
      <c r="A19">
        <f>IF(ISBLANK(card_database!$A$19),-1,card_database!$A$19)</f>
        <v>13</v>
      </c>
      <c r="B19" t="str">
        <f>IF(ISBLANK(card_database!$B$19),-1,card_database!$B$19)</f>
        <v>アクア・マドール</v>
      </c>
      <c r="C19" t="str">
        <f>IF(ISBLANK(card_database!$C$19),-1,card_database!$C$19)</f>
        <v>水をあやつる魔法使い。分厚い水の壁をつくり敵を押しつぶす。</v>
      </c>
      <c r="D19">
        <f>IF(ISBLANK(card_database!$D$19),-1,card_database!$D$19)</f>
        <v>13</v>
      </c>
      <c r="E19">
        <f>IF(ISBLANK(card_database!$E$19),-1,MATCH(card_database!$E$19,タイプ, 0) - 1)</f>
        <v>-1</v>
      </c>
      <c r="F19">
        <f>IF(ISBLANK(card_database!$F$19),-1,MATCH(card_database!$F$19,タイプ詳細, 0) - 1)</f>
        <v>-1</v>
      </c>
      <c r="G19">
        <f>IF(ISBLANK(card_database!$G$19),-1,card_database!$G$19)</f>
        <v>-1</v>
      </c>
      <c r="H19">
        <f>IF(ISBLANK(card_database!$H$19),-1,card_database!$H$19)</f>
        <v>-1</v>
      </c>
      <c r="I19">
        <f>IF(ISBLANK(card_database!$I$19),-1,MATCH(card_database!$I$19,属性, 0) - 1)</f>
        <v>-1</v>
      </c>
      <c r="J19">
        <f>IF(ISBLANK(card_database!$J$19),-1,MATCH(card_database!$J$19,種族, 0) - 1)</f>
        <v>-1</v>
      </c>
      <c r="K19">
        <f>IF(ISBLANK(card_database!$K$19),-1,card_database!$K$19)</f>
        <v>-1</v>
      </c>
      <c r="L19">
        <f>IF(ISBLANK(card_database!$L$19),-1,card_database!$L$19)</f>
        <v>-1</v>
      </c>
      <c r="M19">
        <f>IF(ISBLANK(card_database!$M$19),-1,card_database!$M$19)</f>
        <v>-1</v>
      </c>
      <c r="N19">
        <f>IF(ISBLANK(card_database!$N$19),-1,card_database!$N$19)</f>
        <v>-1</v>
      </c>
      <c r="O19">
        <f>IF(ISBLANK(card_database!$O$19),-1,card_database!$O$19)</f>
        <v>-1</v>
      </c>
      <c r="P19">
        <f>IF(ISBLANK(card_database!$P$19),-1,MATCH(card_database!$P$19,条件, 0) - 1)</f>
        <v>-1</v>
      </c>
      <c r="Q19">
        <f>IF(ISBLANK(card_database!$Q$19),-1,MATCH(card_database!$Q$19,条件, 0) - 1)</f>
        <v>-1</v>
      </c>
      <c r="R19">
        <f>IF(ISBLANK(card_database!$R$19),-1,card_database!$R$19)</f>
        <v>-1</v>
      </c>
      <c r="S19">
        <f>IF(ISBLANK(card_database!$S$19),-1,card_database!$S$19)</f>
        <v>-1</v>
      </c>
      <c r="T19">
        <f>IF(ISBLANK(card_database!$T$19),-1,MATCH(card_database!$T$19,効果, 0) - 1)</f>
        <v>-1</v>
      </c>
      <c r="U19">
        <f>IF(ISBLANK(card_database!$U$19),-1,card_database!$U$19)</f>
        <v>-1</v>
      </c>
      <c r="V19">
        <f>IF(ISBLANK(card_database!$V$19),-1,card_database!$V$19)</f>
        <v>-1</v>
      </c>
      <c r="W19">
        <f>IF(ISBLANK(card_database!$W$19),-1,MATCH(card_database!$W$19,条件, 0) - 1)</f>
        <v>-1</v>
      </c>
      <c r="X19">
        <f>IF(ISBLANK(card_database!$X$19),-1,card_database!$X$19)</f>
        <v>-1</v>
      </c>
      <c r="Y19">
        <f>IF(ISBLANK(card_database!$Y$19),-1,card_database!$Y$19)</f>
        <v>-1</v>
      </c>
      <c r="Z19">
        <f>IF(ISBLANK(card_database!$Z$19),-1,MATCH(card_database!$Z$19,効果, 0) - 1)</f>
        <v>-1</v>
      </c>
      <c r="AA19">
        <f>IF(ISBLANK(card_database!$AA$19),-1,card_database!$AA$19)</f>
        <v>-1</v>
      </c>
      <c r="AB19">
        <f>IF(ISBLANK(card_database!$AB$19),-1,card_database!$AB$19)</f>
        <v>-1</v>
      </c>
      <c r="AC19">
        <f>IF(ISBLANK(card_database!$AC$19),-1,MATCH(card_database!$AC$19,条件, 0) - 1)</f>
        <v>-1</v>
      </c>
      <c r="AD19">
        <f>IF(ISBLANK(card_database!$AD$19),-1,card_database!$AD$19)</f>
        <v>-1</v>
      </c>
      <c r="AE19">
        <f>IF(ISBLANK(card_database!$AE$19),-1,card_database!$AE$19)</f>
        <v>-1</v>
      </c>
      <c r="AF19">
        <f>IF(ISBLANK(card_database!$AF$19),-1,MATCH(card_database!$AF$19,効果, 0) - 1)</f>
        <v>-1</v>
      </c>
      <c r="AG19">
        <f>IF(ISBLANK(card_database!$AG$19),-1,card_database!$AG$19)</f>
        <v>-1</v>
      </c>
      <c r="AH19">
        <f>IF(ISBLANK(card_database!$AH$19),-1,card_database!$AH$19)</f>
        <v>-1</v>
      </c>
      <c r="AI19">
        <f>IF(ISBLANK(card_database!$AI$19),-1,MATCH(card_database!$AI$19,条件, 0) - 1)</f>
        <v>-1</v>
      </c>
      <c r="AJ19">
        <f>IF(ISBLANK(card_database!$AJ$19),-1,card_database!$AJ$19)</f>
        <v>-1</v>
      </c>
      <c r="AK19">
        <f>IF(ISBLANK(card_database!$AK$19),-1,card_database!$AK$19)</f>
        <v>-1</v>
      </c>
      <c r="AL19">
        <f>IF(ISBLANK(card_database!$AL$19),-1,MATCH(card_database!$AL$19,わざ, 0) - 1)</f>
        <v>-1</v>
      </c>
      <c r="AM19">
        <f>IF(ISBLANK(card_database!$AM$19),-1,card_database!$AM$19)</f>
        <v>-1</v>
      </c>
      <c r="AN19">
        <f>IF(ISBLANK(card_database!$AN$19),-1,card_database!$AN$19)</f>
        <v>-1</v>
      </c>
      <c r="AO19">
        <f>IF(ISBLANK(card_database!$AO$19),-1,MATCH(card_database!$AO$19,条件, 0) - 1)</f>
        <v>-1</v>
      </c>
      <c r="AP19">
        <f>IF(ISBLANK(card_database!$AP$19),-1,card_database!$AP$19)</f>
        <v>-1</v>
      </c>
      <c r="AQ19">
        <f>IF(ISBLANK(card_database!$AQ$19),-1,card_database!$AQ$19)</f>
        <v>-1</v>
      </c>
      <c r="AR19">
        <f>IF(ISBLANK(card_database!$AR$19),-1,MATCH(card_database!$AR$19,わざ, 0) - 1)</f>
        <v>-1</v>
      </c>
      <c r="AS19">
        <f>IF(ISBLANK(card_database!$AS$19),-1,card_database!$AS$19)</f>
        <v>-1</v>
      </c>
      <c r="AT19">
        <f>IF(ISBLANK(card_database!$AT$19),-1,card_database!$AT$19)</f>
        <v>-1</v>
      </c>
      <c r="AU19">
        <f>IF(ISBLANK(card_database!$AU$19),-1,MATCH(card_database!$AU$19,条件, 0) - 1)</f>
        <v>-1</v>
      </c>
      <c r="AV19">
        <f>IF(ISBLANK(card_database!$AV$19),-1,card_database!$AV$19)</f>
        <v>-1</v>
      </c>
      <c r="AW19">
        <f>IF(ISBLANK(card_database!$AW$19),-1,card_database!$AW$19)</f>
        <v>-1</v>
      </c>
      <c r="AX19">
        <f>IF(ISBLANK(card_database!$AX$19),-1,MATCH(card_database!$AX$19,わざ, 0) - 1)</f>
        <v>-1</v>
      </c>
      <c r="AY19">
        <f>IF(ISBLANK(card_database!$AY$19),-1,card_database!$AY$19)</f>
        <v>-1</v>
      </c>
      <c r="AZ19">
        <f>IF(ISBLANK(card_database!$AZ$19),-1,card_database!$AZ$19)</f>
        <v>-1</v>
      </c>
      <c r="BA19">
        <f>IF(ISBLANK(card_database!$BA$19),-1,MATCH(card_database!$BA$19,条件, 0) - 1)</f>
        <v>-1</v>
      </c>
      <c r="BB19">
        <f>IF(ISBLANK(card_database!$BB$19),-1,card_database!$BB$19)</f>
        <v>-1</v>
      </c>
      <c r="BC19">
        <f>IF(ISBLANK(card_database!$BC$19),-1,card_database!$BC$19)</f>
        <v>-1</v>
      </c>
      <c r="BD19">
        <f>IF(ISBLANK(card_database!$BD$19),-1,MATCH(card_database!$BD$19,わざ, 0) - 1)</f>
        <v>-1</v>
      </c>
      <c r="BE19">
        <f>IF(ISBLANK(card_database!$BE$19),-1,card_database!$BE$19)</f>
        <v>-1</v>
      </c>
      <c r="BF19">
        <f>IF(ISBLANK(card_database!$BF$19),-1,card_database!$BF$19)</f>
        <v>-1</v>
      </c>
      <c r="BG19">
        <f>IF(ISBLANK(card_database!$BG$19),-1,card_database!$BG$19)</f>
        <v>-1</v>
      </c>
      <c r="BH19">
        <f>IF(ISBLANK(card_database!$BB$19),-1,card_database!$BB$19)</f>
        <v>-1</v>
      </c>
      <c r="BI19">
        <f>IF(ISBLANK(card_database!$BC$19),-1,card_database!$BC$19)</f>
        <v>-1</v>
      </c>
      <c r="BJ19">
        <f>IF(ISBLANK(card_database!$BD$19),-1,MATCH(card_database!$BD$19,わざ, 0) - 1)</f>
        <v>-1</v>
      </c>
    </row>
    <row r="20" spans="1:62" x14ac:dyDescent="0.55000000000000004">
      <c r="A20">
        <f>IF(ISBLANK(card_database!$A$20),-1,card_database!$A$20)</f>
        <v>14</v>
      </c>
      <c r="B20" t="str">
        <f>IF(ISBLANK(card_database!$B$20),-1,card_database!$B$20)</f>
        <v>シャドウ・ファイター</v>
      </c>
      <c r="C20" t="str">
        <f>IF(ISBLANK(card_database!$C$20),-1,card_database!$C$20)</f>
        <v>実体と影に分かれて襲ってくる。油断すると挟まれるぞ。</v>
      </c>
      <c r="D20">
        <f>IF(ISBLANK(card_database!$D$20),-1,card_database!$D$20)</f>
        <v>14</v>
      </c>
      <c r="E20">
        <f>IF(ISBLANK(card_database!$E$20),-1,MATCH(card_database!$E$20,タイプ, 0) - 1)</f>
        <v>-1</v>
      </c>
      <c r="F20">
        <f>IF(ISBLANK(card_database!$F$20),-1,MATCH(card_database!$F$20,タイプ詳細, 0) - 1)</f>
        <v>-1</v>
      </c>
      <c r="G20">
        <f>IF(ISBLANK(card_database!$G$20),-1,card_database!$G$20)</f>
        <v>-1</v>
      </c>
      <c r="H20">
        <f>IF(ISBLANK(card_database!$H$20),-1,card_database!$H$20)</f>
        <v>-1</v>
      </c>
      <c r="I20">
        <f>IF(ISBLANK(card_database!$I$20),-1,MATCH(card_database!$I$20,属性, 0) - 1)</f>
        <v>-1</v>
      </c>
      <c r="J20">
        <f>IF(ISBLANK(card_database!$J$20),-1,MATCH(card_database!$J$20,種族, 0) - 1)</f>
        <v>-1</v>
      </c>
      <c r="K20">
        <f>IF(ISBLANK(card_database!$K$20),-1,card_database!$K$20)</f>
        <v>-1</v>
      </c>
      <c r="L20">
        <f>IF(ISBLANK(card_database!$L$20),-1,card_database!$L$20)</f>
        <v>-1</v>
      </c>
      <c r="M20">
        <f>IF(ISBLANK(card_database!$M$20),-1,card_database!$M$20)</f>
        <v>-1</v>
      </c>
      <c r="N20">
        <f>IF(ISBLANK(card_database!$N$20),-1,card_database!$N$20)</f>
        <v>-1</v>
      </c>
      <c r="O20">
        <f>IF(ISBLANK(card_database!$O$20),-1,card_database!$O$20)</f>
        <v>-1</v>
      </c>
      <c r="P20">
        <f>IF(ISBLANK(card_database!$P$20),-1,MATCH(card_database!$P$20,条件, 0) - 1)</f>
        <v>-1</v>
      </c>
      <c r="Q20">
        <f>IF(ISBLANK(card_database!$Q$20),-1,MATCH(card_database!$Q$20,条件, 0) - 1)</f>
        <v>-1</v>
      </c>
      <c r="R20">
        <f>IF(ISBLANK(card_database!$R$20),-1,card_database!$R$20)</f>
        <v>-1</v>
      </c>
      <c r="S20">
        <f>IF(ISBLANK(card_database!$S$20),-1,card_database!$S$20)</f>
        <v>-1</v>
      </c>
      <c r="T20">
        <f>IF(ISBLANK(card_database!$T$20),-1,MATCH(card_database!$T$20,効果, 0) - 1)</f>
        <v>-1</v>
      </c>
      <c r="U20">
        <f>IF(ISBLANK(card_database!$U$20),-1,card_database!$U$20)</f>
        <v>-1</v>
      </c>
      <c r="V20">
        <f>IF(ISBLANK(card_database!$V$20),-1,card_database!$V$20)</f>
        <v>-1</v>
      </c>
      <c r="W20">
        <f>IF(ISBLANK(card_database!$W$20),-1,MATCH(card_database!$W$20,条件, 0) - 1)</f>
        <v>-1</v>
      </c>
      <c r="X20">
        <f>IF(ISBLANK(card_database!$X$20),-1,card_database!$X$20)</f>
        <v>-1</v>
      </c>
      <c r="Y20">
        <f>IF(ISBLANK(card_database!$Y$20),-1,card_database!$Y$20)</f>
        <v>-1</v>
      </c>
      <c r="Z20">
        <f>IF(ISBLANK(card_database!$Z$20),-1,MATCH(card_database!$Z$20,効果, 0) - 1)</f>
        <v>-1</v>
      </c>
      <c r="AA20">
        <f>IF(ISBLANK(card_database!$AA$20),-1,card_database!$AA$20)</f>
        <v>-1</v>
      </c>
      <c r="AB20">
        <f>IF(ISBLANK(card_database!$AB$20),-1,card_database!$AB$20)</f>
        <v>-1</v>
      </c>
      <c r="AC20">
        <f>IF(ISBLANK(card_database!$AC$20),-1,MATCH(card_database!$AC$20,条件, 0) - 1)</f>
        <v>-1</v>
      </c>
      <c r="AD20">
        <f>IF(ISBLANK(card_database!$AD$20),-1,card_database!$AD$20)</f>
        <v>-1</v>
      </c>
      <c r="AE20">
        <f>IF(ISBLANK(card_database!$AE$20),-1,card_database!$AE$20)</f>
        <v>-1</v>
      </c>
      <c r="AF20">
        <f>IF(ISBLANK(card_database!$AF$20),-1,MATCH(card_database!$AF$20,効果, 0) - 1)</f>
        <v>-1</v>
      </c>
      <c r="AG20">
        <f>IF(ISBLANK(card_database!$AG$20),-1,card_database!$AG$20)</f>
        <v>-1</v>
      </c>
      <c r="AH20">
        <f>IF(ISBLANK(card_database!$AH$20),-1,card_database!$AH$20)</f>
        <v>-1</v>
      </c>
      <c r="AI20">
        <f>IF(ISBLANK(card_database!$AI$20),-1,MATCH(card_database!$AI$20,条件, 0) - 1)</f>
        <v>-1</v>
      </c>
      <c r="AJ20">
        <f>IF(ISBLANK(card_database!$AJ$20),-1,card_database!$AJ$20)</f>
        <v>-1</v>
      </c>
      <c r="AK20">
        <f>IF(ISBLANK(card_database!$AK$20),-1,card_database!$AK$20)</f>
        <v>-1</v>
      </c>
      <c r="AL20">
        <f>IF(ISBLANK(card_database!$AL$20),-1,MATCH(card_database!$AL$20,わざ, 0) - 1)</f>
        <v>-1</v>
      </c>
      <c r="AM20">
        <f>IF(ISBLANK(card_database!$AM$20),-1,card_database!$AM$20)</f>
        <v>-1</v>
      </c>
      <c r="AN20">
        <f>IF(ISBLANK(card_database!$AN$20),-1,card_database!$AN$20)</f>
        <v>-1</v>
      </c>
      <c r="AO20">
        <f>IF(ISBLANK(card_database!$AO$20),-1,MATCH(card_database!$AO$20,条件, 0) - 1)</f>
        <v>-1</v>
      </c>
      <c r="AP20">
        <f>IF(ISBLANK(card_database!$AP$20),-1,card_database!$AP$20)</f>
        <v>-1</v>
      </c>
      <c r="AQ20">
        <f>IF(ISBLANK(card_database!$AQ$20),-1,card_database!$AQ$20)</f>
        <v>-1</v>
      </c>
      <c r="AR20">
        <f>IF(ISBLANK(card_database!$AR$20),-1,MATCH(card_database!$AR$20,わざ, 0) - 1)</f>
        <v>-1</v>
      </c>
      <c r="AS20">
        <f>IF(ISBLANK(card_database!$AS$20),-1,card_database!$AS$20)</f>
        <v>-1</v>
      </c>
      <c r="AT20">
        <f>IF(ISBLANK(card_database!$AT$20),-1,card_database!$AT$20)</f>
        <v>-1</v>
      </c>
      <c r="AU20">
        <f>IF(ISBLANK(card_database!$AU$20),-1,MATCH(card_database!$AU$20,条件, 0) - 1)</f>
        <v>-1</v>
      </c>
      <c r="AV20">
        <f>IF(ISBLANK(card_database!$AV$20),-1,card_database!$AV$20)</f>
        <v>-1</v>
      </c>
      <c r="AW20">
        <f>IF(ISBLANK(card_database!$AW$20),-1,card_database!$AW$20)</f>
        <v>-1</v>
      </c>
      <c r="AX20">
        <f>IF(ISBLANK(card_database!$AX$20),-1,MATCH(card_database!$AX$20,わざ, 0) - 1)</f>
        <v>-1</v>
      </c>
      <c r="AY20">
        <f>IF(ISBLANK(card_database!$AY$20),-1,card_database!$AY$20)</f>
        <v>-1</v>
      </c>
      <c r="AZ20">
        <f>IF(ISBLANK(card_database!$AZ$20),-1,card_database!$AZ$20)</f>
        <v>-1</v>
      </c>
      <c r="BA20">
        <f>IF(ISBLANK(card_database!$BA$20),-1,MATCH(card_database!$BA$20,条件, 0) - 1)</f>
        <v>-1</v>
      </c>
      <c r="BB20">
        <f>IF(ISBLANK(card_database!$BB$20),-1,card_database!$BB$20)</f>
        <v>-1</v>
      </c>
      <c r="BC20">
        <f>IF(ISBLANK(card_database!$BC$20),-1,card_database!$BC$20)</f>
        <v>-1</v>
      </c>
      <c r="BD20">
        <f>IF(ISBLANK(card_database!$BD$20),-1,MATCH(card_database!$BD$20,わざ, 0) - 1)</f>
        <v>-1</v>
      </c>
      <c r="BE20">
        <f>IF(ISBLANK(card_database!$BE$20),-1,card_database!$BE$20)</f>
        <v>-1</v>
      </c>
      <c r="BF20">
        <f>IF(ISBLANK(card_database!$BF$20),-1,card_database!$BF$20)</f>
        <v>-1</v>
      </c>
      <c r="BG20">
        <f>IF(ISBLANK(card_database!$BG$20),-1,card_database!$BG$20)</f>
        <v>-1</v>
      </c>
      <c r="BH20">
        <f>IF(ISBLANK(card_database!$BB$20),-1,card_database!$BB$20)</f>
        <v>-1</v>
      </c>
      <c r="BI20">
        <f>IF(ISBLANK(card_database!$BC$20),-1,card_database!$BC$20)</f>
        <v>-1</v>
      </c>
      <c r="BJ20">
        <f>IF(ISBLANK(card_database!$BD$20),-1,MATCH(card_database!$BD$20,わざ, 0) - 1)</f>
        <v>-1</v>
      </c>
    </row>
    <row r="21" spans="1:62" x14ac:dyDescent="0.55000000000000004">
      <c r="A21">
        <f>IF(ISBLANK(card_database!$A$21),-1,card_database!$A$21)</f>
        <v>15</v>
      </c>
      <c r="B21" t="str">
        <f>IF(ISBLANK(card_database!$B$21),-1,card_database!$B$21)</f>
        <v>地獄の裁判</v>
      </c>
      <c r="C21" t="str">
        <f>IF(ISBLANK(card_database!$C$21),-1,card_database!$C$21)</f>
        <v>敵を棺桶に閉じこめ、地獄の使いがグサリと判決を下す。</v>
      </c>
      <c r="D21">
        <f>IF(ISBLANK(card_database!$D$21),-1,card_database!$D$21)</f>
        <v>15</v>
      </c>
      <c r="E21">
        <f>IF(ISBLANK(card_database!$E$21),-1,MATCH(card_database!$E$21,タイプ, 0) - 1)</f>
        <v>-1</v>
      </c>
      <c r="F21">
        <f>IF(ISBLANK(card_database!$F$21),-1,MATCH(card_database!$F$21,タイプ詳細, 0) - 1)</f>
        <v>-1</v>
      </c>
      <c r="G21">
        <f>IF(ISBLANK(card_database!$G$21),-1,card_database!$G$21)</f>
        <v>-1</v>
      </c>
      <c r="H21">
        <f>IF(ISBLANK(card_database!$H$21),-1,card_database!$H$21)</f>
        <v>-1</v>
      </c>
      <c r="I21">
        <f>IF(ISBLANK(card_database!$I$21),-1,MATCH(card_database!$I$21,属性, 0) - 1)</f>
        <v>-1</v>
      </c>
      <c r="J21">
        <f>IF(ISBLANK(card_database!$J$21),-1,MATCH(card_database!$J$21,種族, 0) - 1)</f>
        <v>-1</v>
      </c>
      <c r="K21">
        <f>IF(ISBLANK(card_database!$K$21),-1,card_database!$K$21)</f>
        <v>-1</v>
      </c>
      <c r="L21">
        <f>IF(ISBLANK(card_database!$L$21),-1,card_database!$L$21)</f>
        <v>-1</v>
      </c>
      <c r="M21">
        <f>IF(ISBLANK(card_database!$M$21),-1,card_database!$M$21)</f>
        <v>-1</v>
      </c>
      <c r="N21">
        <f>IF(ISBLANK(card_database!$N$21),-1,card_database!$N$21)</f>
        <v>-1</v>
      </c>
      <c r="O21">
        <f>IF(ISBLANK(card_database!$O$21),-1,card_database!$O$21)</f>
        <v>-1</v>
      </c>
      <c r="P21">
        <f>IF(ISBLANK(card_database!$P$21),-1,MATCH(card_database!$P$21,条件, 0) - 1)</f>
        <v>-1</v>
      </c>
      <c r="Q21">
        <f>IF(ISBLANK(card_database!$Q$21),-1,MATCH(card_database!$Q$21,条件, 0) - 1)</f>
        <v>-1</v>
      </c>
      <c r="R21">
        <f>IF(ISBLANK(card_database!$R$21),-1,card_database!$R$21)</f>
        <v>-1</v>
      </c>
      <c r="S21">
        <f>IF(ISBLANK(card_database!$S$21),-1,card_database!$S$21)</f>
        <v>-1</v>
      </c>
      <c r="T21">
        <f>IF(ISBLANK(card_database!$T$21),-1,MATCH(card_database!$T$21,効果, 0) - 1)</f>
        <v>-1</v>
      </c>
      <c r="U21">
        <f>IF(ISBLANK(card_database!$U$21),-1,card_database!$U$21)</f>
        <v>-1</v>
      </c>
      <c r="V21">
        <f>IF(ISBLANK(card_database!$V$21),-1,card_database!$V$21)</f>
        <v>-1</v>
      </c>
      <c r="W21">
        <f>IF(ISBLANK(card_database!$W$21),-1,MATCH(card_database!$W$21,条件, 0) - 1)</f>
        <v>-1</v>
      </c>
      <c r="X21">
        <f>IF(ISBLANK(card_database!$X$21),-1,card_database!$X$21)</f>
        <v>-1</v>
      </c>
      <c r="Y21">
        <f>IF(ISBLANK(card_database!$Y$21),-1,card_database!$Y$21)</f>
        <v>-1</v>
      </c>
      <c r="Z21">
        <f>IF(ISBLANK(card_database!$Z$21),-1,MATCH(card_database!$Z$21,効果, 0) - 1)</f>
        <v>-1</v>
      </c>
      <c r="AA21">
        <f>IF(ISBLANK(card_database!$AA$21),-1,card_database!$AA$21)</f>
        <v>-1</v>
      </c>
      <c r="AB21">
        <f>IF(ISBLANK(card_database!$AB$21),-1,card_database!$AB$21)</f>
        <v>-1</v>
      </c>
      <c r="AC21">
        <f>IF(ISBLANK(card_database!$AC$21),-1,MATCH(card_database!$AC$21,条件, 0) - 1)</f>
        <v>-1</v>
      </c>
      <c r="AD21">
        <f>IF(ISBLANK(card_database!$AD$21),-1,card_database!$AD$21)</f>
        <v>-1</v>
      </c>
      <c r="AE21">
        <f>IF(ISBLANK(card_database!$AE$21),-1,card_database!$AE$21)</f>
        <v>-1</v>
      </c>
      <c r="AF21">
        <f>IF(ISBLANK(card_database!$AF$21),-1,MATCH(card_database!$AF$21,効果, 0) - 1)</f>
        <v>-1</v>
      </c>
      <c r="AG21">
        <f>IF(ISBLANK(card_database!$AG$21),-1,card_database!$AG$21)</f>
        <v>-1</v>
      </c>
      <c r="AH21">
        <f>IF(ISBLANK(card_database!$AH$21),-1,card_database!$AH$21)</f>
        <v>-1</v>
      </c>
      <c r="AI21">
        <f>IF(ISBLANK(card_database!$AI$21),-1,MATCH(card_database!$AI$21,条件, 0) - 1)</f>
        <v>-1</v>
      </c>
      <c r="AJ21">
        <f>IF(ISBLANK(card_database!$AJ$21),-1,card_database!$AJ$21)</f>
        <v>-1</v>
      </c>
      <c r="AK21">
        <f>IF(ISBLANK(card_database!$AK$21),-1,card_database!$AK$21)</f>
        <v>-1</v>
      </c>
      <c r="AL21">
        <f>IF(ISBLANK(card_database!$AL$21),-1,MATCH(card_database!$AL$21,わざ, 0) - 1)</f>
        <v>-1</v>
      </c>
      <c r="AM21">
        <f>IF(ISBLANK(card_database!$AM$21),-1,card_database!$AM$21)</f>
        <v>-1</v>
      </c>
      <c r="AN21">
        <f>IF(ISBLANK(card_database!$AN$21),-1,card_database!$AN$21)</f>
        <v>-1</v>
      </c>
      <c r="AO21">
        <f>IF(ISBLANK(card_database!$AO$21),-1,MATCH(card_database!$AO$21,条件, 0) - 1)</f>
        <v>-1</v>
      </c>
      <c r="AP21">
        <f>IF(ISBLANK(card_database!$AP$21),-1,card_database!$AP$21)</f>
        <v>-1</v>
      </c>
      <c r="AQ21">
        <f>IF(ISBLANK(card_database!$AQ$21),-1,card_database!$AQ$21)</f>
        <v>-1</v>
      </c>
      <c r="AR21">
        <f>IF(ISBLANK(card_database!$AR$21),-1,MATCH(card_database!$AR$21,わざ, 0) - 1)</f>
        <v>-1</v>
      </c>
      <c r="AS21">
        <f>IF(ISBLANK(card_database!$AS$21),-1,card_database!$AS$21)</f>
        <v>-1</v>
      </c>
      <c r="AT21">
        <f>IF(ISBLANK(card_database!$AT$21),-1,card_database!$AT$21)</f>
        <v>-1</v>
      </c>
      <c r="AU21">
        <f>IF(ISBLANK(card_database!$AU$21),-1,MATCH(card_database!$AU$21,条件, 0) - 1)</f>
        <v>-1</v>
      </c>
      <c r="AV21">
        <f>IF(ISBLANK(card_database!$AV$21),-1,card_database!$AV$21)</f>
        <v>-1</v>
      </c>
      <c r="AW21">
        <f>IF(ISBLANK(card_database!$AW$21),-1,card_database!$AW$21)</f>
        <v>-1</v>
      </c>
      <c r="AX21">
        <f>IF(ISBLANK(card_database!$AX$21),-1,MATCH(card_database!$AX$21,わざ, 0) - 1)</f>
        <v>-1</v>
      </c>
      <c r="AY21">
        <f>IF(ISBLANK(card_database!$AY$21),-1,card_database!$AY$21)</f>
        <v>-1</v>
      </c>
      <c r="AZ21">
        <f>IF(ISBLANK(card_database!$AZ$21),-1,card_database!$AZ$21)</f>
        <v>-1</v>
      </c>
      <c r="BA21">
        <f>IF(ISBLANK(card_database!$BA$21),-1,MATCH(card_database!$BA$21,条件, 0) - 1)</f>
        <v>-1</v>
      </c>
      <c r="BB21">
        <f>IF(ISBLANK(card_database!$BB$21),-1,card_database!$BB$21)</f>
        <v>-1</v>
      </c>
      <c r="BC21">
        <f>IF(ISBLANK(card_database!$BC$21),-1,card_database!$BC$21)</f>
        <v>-1</v>
      </c>
      <c r="BD21">
        <f>IF(ISBLANK(card_database!$BD$21),-1,MATCH(card_database!$BD$21,わざ, 0) - 1)</f>
        <v>-1</v>
      </c>
      <c r="BE21">
        <f>IF(ISBLANK(card_database!$BE$21),-1,card_database!$BE$21)</f>
        <v>-1</v>
      </c>
      <c r="BF21">
        <f>IF(ISBLANK(card_database!$BF$21),-1,card_database!$BF$21)</f>
        <v>-1</v>
      </c>
      <c r="BG21">
        <f>IF(ISBLANK(card_database!$BG$21),-1,card_database!$BG$21)</f>
        <v>-1</v>
      </c>
      <c r="BH21">
        <f>IF(ISBLANK(card_database!$BB$21),-1,card_database!$BB$21)</f>
        <v>-1</v>
      </c>
      <c r="BI21">
        <f>IF(ISBLANK(card_database!$BC$21),-1,card_database!$BC$21)</f>
        <v>-1</v>
      </c>
      <c r="BJ21">
        <f>IF(ISBLANK(card_database!$BD$21),-1,MATCH(card_database!$BD$21,わざ, 0) - 1)</f>
        <v>-1</v>
      </c>
    </row>
    <row r="22" spans="1:62" x14ac:dyDescent="0.55000000000000004">
      <c r="A22">
        <f>IF(ISBLANK(card_database!$A$22),-1,card_database!$A$22)</f>
        <v>16</v>
      </c>
      <c r="B22" t="str">
        <f>IF(ISBLANK(card_database!$B$22),-1,card_database!$B$22)</f>
        <v>スティング</v>
      </c>
      <c r="C22" t="str">
        <f>IF(ISBLANK(card_database!$C$22),-1,card_database!$C$22)</f>
        <v>ものすごく熱い炎のかたまり。その体で体当たりしてくる。</v>
      </c>
      <c r="D22">
        <f>IF(ISBLANK(card_database!$D$22),-1,card_database!$D$22)</f>
        <v>16</v>
      </c>
      <c r="E22">
        <f>IF(ISBLANK(card_database!$E$22),-1,MATCH(card_database!$E$22,タイプ, 0) - 1)</f>
        <v>-1</v>
      </c>
      <c r="F22">
        <f>IF(ISBLANK(card_database!$F$22),-1,MATCH(card_database!$F$22,タイプ詳細, 0) - 1)</f>
        <v>-1</v>
      </c>
      <c r="G22">
        <f>IF(ISBLANK(card_database!$G$22),-1,card_database!$G$22)</f>
        <v>-1</v>
      </c>
      <c r="H22">
        <f>IF(ISBLANK(card_database!$H$22),-1,card_database!$H$22)</f>
        <v>-1</v>
      </c>
      <c r="I22">
        <f>IF(ISBLANK(card_database!$I$22),-1,MATCH(card_database!$I$22,属性, 0) - 1)</f>
        <v>-1</v>
      </c>
      <c r="J22">
        <f>IF(ISBLANK(card_database!$J$22),-1,MATCH(card_database!$J$22,種族, 0) - 1)</f>
        <v>-1</v>
      </c>
      <c r="K22">
        <f>IF(ISBLANK(card_database!$K$22),-1,card_database!$K$22)</f>
        <v>-1</v>
      </c>
      <c r="L22">
        <f>IF(ISBLANK(card_database!$L$22),-1,card_database!$L$22)</f>
        <v>-1</v>
      </c>
      <c r="M22">
        <f>IF(ISBLANK(card_database!$M$22),-1,card_database!$M$22)</f>
        <v>-1</v>
      </c>
      <c r="N22">
        <f>IF(ISBLANK(card_database!$N$22),-1,card_database!$N$22)</f>
        <v>-1</v>
      </c>
      <c r="O22">
        <f>IF(ISBLANK(card_database!$O$22),-1,card_database!$O$22)</f>
        <v>-1</v>
      </c>
      <c r="P22">
        <f>IF(ISBLANK(card_database!$P$22),-1,MATCH(card_database!$P$22,条件, 0) - 1)</f>
        <v>-1</v>
      </c>
      <c r="Q22">
        <f>IF(ISBLANK(card_database!$Q$22),-1,MATCH(card_database!$Q$22,条件, 0) - 1)</f>
        <v>-1</v>
      </c>
      <c r="R22">
        <f>IF(ISBLANK(card_database!$R$22),-1,card_database!$R$22)</f>
        <v>-1</v>
      </c>
      <c r="S22">
        <f>IF(ISBLANK(card_database!$S$22),-1,card_database!$S$22)</f>
        <v>-1</v>
      </c>
      <c r="T22">
        <f>IF(ISBLANK(card_database!$T$22),-1,MATCH(card_database!$T$22,効果, 0) - 1)</f>
        <v>-1</v>
      </c>
      <c r="U22">
        <f>IF(ISBLANK(card_database!$U$22),-1,card_database!$U$22)</f>
        <v>-1</v>
      </c>
      <c r="V22">
        <f>IF(ISBLANK(card_database!$V$22),-1,card_database!$V$22)</f>
        <v>-1</v>
      </c>
      <c r="W22">
        <f>IF(ISBLANK(card_database!$W$22),-1,MATCH(card_database!$W$22,条件, 0) - 1)</f>
        <v>-1</v>
      </c>
      <c r="X22">
        <f>IF(ISBLANK(card_database!$X$22),-1,card_database!$X$22)</f>
        <v>-1</v>
      </c>
      <c r="Y22">
        <f>IF(ISBLANK(card_database!$Y$22),-1,card_database!$Y$22)</f>
        <v>-1</v>
      </c>
      <c r="Z22">
        <f>IF(ISBLANK(card_database!$Z$22),-1,MATCH(card_database!$Z$22,効果, 0) - 1)</f>
        <v>-1</v>
      </c>
      <c r="AA22">
        <f>IF(ISBLANK(card_database!$AA$22),-1,card_database!$AA$22)</f>
        <v>-1</v>
      </c>
      <c r="AB22">
        <f>IF(ISBLANK(card_database!$AB$22),-1,card_database!$AB$22)</f>
        <v>-1</v>
      </c>
      <c r="AC22">
        <f>IF(ISBLANK(card_database!$AC$22),-1,MATCH(card_database!$AC$22,条件, 0) - 1)</f>
        <v>-1</v>
      </c>
      <c r="AD22">
        <f>IF(ISBLANK(card_database!$AD$22),-1,card_database!$AD$22)</f>
        <v>-1</v>
      </c>
      <c r="AE22">
        <f>IF(ISBLANK(card_database!$AE$22),-1,card_database!$AE$22)</f>
        <v>-1</v>
      </c>
      <c r="AF22">
        <f>IF(ISBLANK(card_database!$AF$22),-1,MATCH(card_database!$AF$22,効果, 0) - 1)</f>
        <v>-1</v>
      </c>
      <c r="AG22">
        <f>IF(ISBLANK(card_database!$AG$22),-1,card_database!$AG$22)</f>
        <v>-1</v>
      </c>
      <c r="AH22">
        <f>IF(ISBLANK(card_database!$AH$22),-1,card_database!$AH$22)</f>
        <v>-1</v>
      </c>
      <c r="AI22">
        <f>IF(ISBLANK(card_database!$AI$22),-1,MATCH(card_database!$AI$22,条件, 0) - 1)</f>
        <v>-1</v>
      </c>
      <c r="AJ22">
        <f>IF(ISBLANK(card_database!$AJ$22),-1,card_database!$AJ$22)</f>
        <v>-1</v>
      </c>
      <c r="AK22">
        <f>IF(ISBLANK(card_database!$AK$22),-1,card_database!$AK$22)</f>
        <v>-1</v>
      </c>
      <c r="AL22">
        <f>IF(ISBLANK(card_database!$AL$22),-1,MATCH(card_database!$AL$22,わざ, 0) - 1)</f>
        <v>-1</v>
      </c>
      <c r="AM22">
        <f>IF(ISBLANK(card_database!$AM$22),-1,card_database!$AM$22)</f>
        <v>-1</v>
      </c>
      <c r="AN22">
        <f>IF(ISBLANK(card_database!$AN$22),-1,card_database!$AN$22)</f>
        <v>-1</v>
      </c>
      <c r="AO22">
        <f>IF(ISBLANK(card_database!$AO$22),-1,MATCH(card_database!$AO$22,条件, 0) - 1)</f>
        <v>-1</v>
      </c>
      <c r="AP22">
        <f>IF(ISBLANK(card_database!$AP$22),-1,card_database!$AP$22)</f>
        <v>-1</v>
      </c>
      <c r="AQ22">
        <f>IF(ISBLANK(card_database!$AQ$22),-1,card_database!$AQ$22)</f>
        <v>-1</v>
      </c>
      <c r="AR22">
        <f>IF(ISBLANK(card_database!$AR$22),-1,MATCH(card_database!$AR$22,わざ, 0) - 1)</f>
        <v>-1</v>
      </c>
      <c r="AS22">
        <f>IF(ISBLANK(card_database!$AS$22),-1,card_database!$AS$22)</f>
        <v>-1</v>
      </c>
      <c r="AT22">
        <f>IF(ISBLANK(card_database!$AT$22),-1,card_database!$AT$22)</f>
        <v>-1</v>
      </c>
      <c r="AU22">
        <f>IF(ISBLANK(card_database!$AU$22),-1,MATCH(card_database!$AU$22,条件, 0) - 1)</f>
        <v>-1</v>
      </c>
      <c r="AV22">
        <f>IF(ISBLANK(card_database!$AV$22),-1,card_database!$AV$22)</f>
        <v>-1</v>
      </c>
      <c r="AW22">
        <f>IF(ISBLANK(card_database!$AW$22),-1,card_database!$AW$22)</f>
        <v>-1</v>
      </c>
      <c r="AX22">
        <f>IF(ISBLANK(card_database!$AX$22),-1,MATCH(card_database!$AX$22,わざ, 0) - 1)</f>
        <v>-1</v>
      </c>
      <c r="AY22">
        <f>IF(ISBLANK(card_database!$AY$22),-1,card_database!$AY$22)</f>
        <v>-1</v>
      </c>
      <c r="AZ22">
        <f>IF(ISBLANK(card_database!$AZ$22),-1,card_database!$AZ$22)</f>
        <v>-1</v>
      </c>
      <c r="BA22">
        <f>IF(ISBLANK(card_database!$BA$22),-1,MATCH(card_database!$BA$22,条件, 0) - 1)</f>
        <v>-1</v>
      </c>
      <c r="BB22">
        <f>IF(ISBLANK(card_database!$BB$22),-1,card_database!$BB$22)</f>
        <v>-1</v>
      </c>
      <c r="BC22">
        <f>IF(ISBLANK(card_database!$BC$22),-1,card_database!$BC$22)</f>
        <v>-1</v>
      </c>
      <c r="BD22">
        <f>IF(ISBLANK(card_database!$BD$22),-1,MATCH(card_database!$BD$22,わざ, 0) - 1)</f>
        <v>-1</v>
      </c>
      <c r="BE22">
        <f>IF(ISBLANK(card_database!$BE$22),-1,card_database!$BE$22)</f>
        <v>-1</v>
      </c>
      <c r="BF22">
        <f>IF(ISBLANK(card_database!$BF$22),-1,card_database!$BF$22)</f>
        <v>-1</v>
      </c>
      <c r="BG22">
        <f>IF(ISBLANK(card_database!$BG$22),-1,card_database!$BG$22)</f>
        <v>-1</v>
      </c>
      <c r="BH22">
        <f>IF(ISBLANK(card_database!$BB$22),-1,card_database!$BB$22)</f>
        <v>-1</v>
      </c>
      <c r="BI22">
        <f>IF(ISBLANK(card_database!$BC$22),-1,card_database!$BC$22)</f>
        <v>-1</v>
      </c>
      <c r="BJ22">
        <f>IF(ISBLANK(card_database!$BD$22),-1,MATCH(card_database!$BD$22,わざ, 0) - 1)</f>
        <v>-1</v>
      </c>
    </row>
    <row r="23" spans="1:62" x14ac:dyDescent="0.55000000000000004">
      <c r="A23">
        <f>IF(ISBLANK(card_database!$A$23),-1,card_database!$A$23)</f>
        <v>17</v>
      </c>
      <c r="B23" t="str">
        <f>IF(ISBLANK(card_database!$B$23),-1,card_database!$B$23)</f>
        <v>スリーピィ</v>
      </c>
      <c r="C23" t="str">
        <f>IF(ISBLANK(card_database!$C$23),-1,card_database!$C$23)</f>
        <v>しっぽの長いひつじ。しっぽを使い催眠術をかけ、睡魔を誘う。</v>
      </c>
      <c r="D23">
        <f>IF(ISBLANK(card_database!$D$23),-1,card_database!$D$23)</f>
        <v>17</v>
      </c>
      <c r="E23">
        <f>IF(ISBLANK(card_database!$E$23),-1,MATCH(card_database!$E$23,タイプ, 0) - 1)</f>
        <v>-1</v>
      </c>
      <c r="F23">
        <f>IF(ISBLANK(card_database!$F$23),-1,MATCH(card_database!$F$23,タイプ詳細, 0) - 1)</f>
        <v>-1</v>
      </c>
      <c r="G23">
        <f>IF(ISBLANK(card_database!$G$23),-1,card_database!$G$23)</f>
        <v>-1</v>
      </c>
      <c r="H23">
        <f>IF(ISBLANK(card_database!$H$23),-1,card_database!$H$23)</f>
        <v>-1</v>
      </c>
      <c r="I23">
        <f>IF(ISBLANK(card_database!$I$23),-1,MATCH(card_database!$I$23,属性, 0) - 1)</f>
        <v>-1</v>
      </c>
      <c r="J23">
        <f>IF(ISBLANK(card_database!$J$23),-1,MATCH(card_database!$J$23,種族, 0) - 1)</f>
        <v>-1</v>
      </c>
      <c r="K23">
        <f>IF(ISBLANK(card_database!$K$23),-1,card_database!$K$23)</f>
        <v>-1</v>
      </c>
      <c r="L23">
        <f>IF(ISBLANK(card_database!$L$23),-1,card_database!$L$23)</f>
        <v>-1</v>
      </c>
      <c r="M23">
        <f>IF(ISBLANK(card_database!$M$23),-1,card_database!$M$23)</f>
        <v>-1</v>
      </c>
      <c r="N23">
        <f>IF(ISBLANK(card_database!$N$23),-1,card_database!$N$23)</f>
        <v>-1</v>
      </c>
      <c r="O23">
        <f>IF(ISBLANK(card_database!$O$23),-1,card_database!$O$23)</f>
        <v>-1</v>
      </c>
      <c r="P23">
        <f>IF(ISBLANK(card_database!$P$23),-1,MATCH(card_database!$P$23,条件, 0) - 1)</f>
        <v>-1</v>
      </c>
      <c r="Q23">
        <f>IF(ISBLANK(card_database!$Q$23),-1,MATCH(card_database!$Q$23,条件, 0) - 1)</f>
        <v>-1</v>
      </c>
      <c r="R23">
        <f>IF(ISBLANK(card_database!$R$23),-1,card_database!$R$23)</f>
        <v>-1</v>
      </c>
      <c r="S23">
        <f>IF(ISBLANK(card_database!$S$23),-1,card_database!$S$23)</f>
        <v>-1</v>
      </c>
      <c r="T23">
        <f>IF(ISBLANK(card_database!$T$23),-1,MATCH(card_database!$T$23,効果, 0) - 1)</f>
        <v>-1</v>
      </c>
      <c r="U23">
        <f>IF(ISBLANK(card_database!$U$23),-1,card_database!$U$23)</f>
        <v>-1</v>
      </c>
      <c r="V23">
        <f>IF(ISBLANK(card_database!$V$23),-1,card_database!$V$23)</f>
        <v>-1</v>
      </c>
      <c r="W23">
        <f>IF(ISBLANK(card_database!$W$23),-1,MATCH(card_database!$W$23,条件, 0) - 1)</f>
        <v>-1</v>
      </c>
      <c r="X23">
        <f>IF(ISBLANK(card_database!$X$23),-1,card_database!$X$23)</f>
        <v>-1</v>
      </c>
      <c r="Y23">
        <f>IF(ISBLANK(card_database!$Y$23),-1,card_database!$Y$23)</f>
        <v>-1</v>
      </c>
      <c r="Z23">
        <f>IF(ISBLANK(card_database!$Z$23),-1,MATCH(card_database!$Z$23,効果, 0) - 1)</f>
        <v>-1</v>
      </c>
      <c r="AA23">
        <f>IF(ISBLANK(card_database!$AA$23),-1,card_database!$AA$23)</f>
        <v>-1</v>
      </c>
      <c r="AB23">
        <f>IF(ISBLANK(card_database!$AB$23),-1,card_database!$AB$23)</f>
        <v>-1</v>
      </c>
      <c r="AC23">
        <f>IF(ISBLANK(card_database!$AC$23),-1,MATCH(card_database!$AC$23,条件, 0) - 1)</f>
        <v>-1</v>
      </c>
      <c r="AD23">
        <f>IF(ISBLANK(card_database!$AD$23),-1,card_database!$AD$23)</f>
        <v>-1</v>
      </c>
      <c r="AE23">
        <f>IF(ISBLANK(card_database!$AE$23),-1,card_database!$AE$23)</f>
        <v>-1</v>
      </c>
      <c r="AF23">
        <f>IF(ISBLANK(card_database!$AF$23),-1,MATCH(card_database!$AF$23,効果, 0) - 1)</f>
        <v>-1</v>
      </c>
      <c r="AG23">
        <f>IF(ISBLANK(card_database!$AG$23),-1,card_database!$AG$23)</f>
        <v>-1</v>
      </c>
      <c r="AH23">
        <f>IF(ISBLANK(card_database!$AH$23),-1,card_database!$AH$23)</f>
        <v>-1</v>
      </c>
      <c r="AI23">
        <f>IF(ISBLANK(card_database!$AI$23),-1,MATCH(card_database!$AI$23,条件, 0) - 1)</f>
        <v>-1</v>
      </c>
      <c r="AJ23">
        <f>IF(ISBLANK(card_database!$AJ$23),-1,card_database!$AJ$23)</f>
        <v>-1</v>
      </c>
      <c r="AK23">
        <f>IF(ISBLANK(card_database!$AK$23),-1,card_database!$AK$23)</f>
        <v>-1</v>
      </c>
      <c r="AL23">
        <f>IF(ISBLANK(card_database!$AL$23),-1,MATCH(card_database!$AL$23,わざ, 0) - 1)</f>
        <v>-1</v>
      </c>
      <c r="AM23">
        <f>IF(ISBLANK(card_database!$AM$23),-1,card_database!$AM$23)</f>
        <v>-1</v>
      </c>
      <c r="AN23">
        <f>IF(ISBLANK(card_database!$AN$23),-1,card_database!$AN$23)</f>
        <v>-1</v>
      </c>
      <c r="AO23">
        <f>IF(ISBLANK(card_database!$AO$23),-1,MATCH(card_database!$AO$23,条件, 0) - 1)</f>
        <v>-1</v>
      </c>
      <c r="AP23">
        <f>IF(ISBLANK(card_database!$AP$23),-1,card_database!$AP$23)</f>
        <v>-1</v>
      </c>
      <c r="AQ23">
        <f>IF(ISBLANK(card_database!$AQ$23),-1,card_database!$AQ$23)</f>
        <v>-1</v>
      </c>
      <c r="AR23">
        <f>IF(ISBLANK(card_database!$AR$23),-1,MATCH(card_database!$AR$23,わざ, 0) - 1)</f>
        <v>-1</v>
      </c>
      <c r="AS23">
        <f>IF(ISBLANK(card_database!$AS$23),-1,card_database!$AS$23)</f>
        <v>-1</v>
      </c>
      <c r="AT23">
        <f>IF(ISBLANK(card_database!$AT$23),-1,card_database!$AT$23)</f>
        <v>-1</v>
      </c>
      <c r="AU23">
        <f>IF(ISBLANK(card_database!$AU$23),-1,MATCH(card_database!$AU$23,条件, 0) - 1)</f>
        <v>-1</v>
      </c>
      <c r="AV23">
        <f>IF(ISBLANK(card_database!$AV$23),-1,card_database!$AV$23)</f>
        <v>-1</v>
      </c>
      <c r="AW23">
        <f>IF(ISBLANK(card_database!$AW$23),-1,card_database!$AW$23)</f>
        <v>-1</v>
      </c>
      <c r="AX23">
        <f>IF(ISBLANK(card_database!$AX$23),-1,MATCH(card_database!$AX$23,わざ, 0) - 1)</f>
        <v>-1</v>
      </c>
      <c r="AY23">
        <f>IF(ISBLANK(card_database!$AY$23),-1,card_database!$AY$23)</f>
        <v>-1</v>
      </c>
      <c r="AZ23">
        <f>IF(ISBLANK(card_database!$AZ$23),-1,card_database!$AZ$23)</f>
        <v>-1</v>
      </c>
      <c r="BA23">
        <f>IF(ISBLANK(card_database!$BA$23),-1,MATCH(card_database!$BA$23,条件, 0) - 1)</f>
        <v>-1</v>
      </c>
      <c r="BB23">
        <f>IF(ISBLANK(card_database!$BB$23),-1,card_database!$BB$23)</f>
        <v>-1</v>
      </c>
      <c r="BC23">
        <f>IF(ISBLANK(card_database!$BC$23),-1,card_database!$BC$23)</f>
        <v>-1</v>
      </c>
      <c r="BD23">
        <f>IF(ISBLANK(card_database!$BD$23),-1,MATCH(card_database!$BD$23,わざ, 0) - 1)</f>
        <v>-1</v>
      </c>
      <c r="BE23">
        <f>IF(ISBLANK(card_database!$BE$23),-1,card_database!$BE$23)</f>
        <v>-1</v>
      </c>
      <c r="BF23">
        <f>IF(ISBLANK(card_database!$BF$23),-1,card_database!$BF$23)</f>
        <v>-1</v>
      </c>
      <c r="BG23">
        <f>IF(ISBLANK(card_database!$BG$23),-1,card_database!$BG$23)</f>
        <v>-1</v>
      </c>
      <c r="BH23">
        <f>IF(ISBLANK(card_database!$BB$23),-1,card_database!$BB$23)</f>
        <v>-1</v>
      </c>
      <c r="BI23">
        <f>IF(ISBLANK(card_database!$BC$23),-1,card_database!$BC$23)</f>
        <v>-1</v>
      </c>
      <c r="BJ23">
        <f>IF(ISBLANK(card_database!$BD$23),-1,MATCH(card_database!$BD$23,わざ, 0) - 1)</f>
        <v>-1</v>
      </c>
    </row>
    <row r="24" spans="1:62" x14ac:dyDescent="0.55000000000000004">
      <c r="A24">
        <f>IF(ISBLANK(card_database!$A$24),-1,card_database!$A$24)</f>
        <v>18</v>
      </c>
      <c r="B24" t="str">
        <f>IF(ISBLANK(card_database!$B$24),-1,card_database!$B$24)</f>
        <v>ダーク・プリズナー</v>
      </c>
      <c r="C24" t="str">
        <f>IF(ISBLANK(card_database!$C$24),-1,card_database!$C$24)</f>
        <v>光の反射を巧みに操り、自分の姿を隠すことができる。</v>
      </c>
      <c r="D24">
        <f>IF(ISBLANK(card_database!$D$24),-1,card_database!$D$24)</f>
        <v>18</v>
      </c>
      <c r="E24">
        <f>IF(ISBLANK(card_database!$E$24),-1,MATCH(card_database!$E$24,タイプ, 0) - 1)</f>
        <v>-1</v>
      </c>
      <c r="F24">
        <f>IF(ISBLANK(card_database!$F$24),-1,MATCH(card_database!$F$24,タイプ詳細, 0) - 1)</f>
        <v>-1</v>
      </c>
      <c r="G24">
        <f>IF(ISBLANK(card_database!$G$24),-1,card_database!$G$24)</f>
        <v>-1</v>
      </c>
      <c r="H24">
        <f>IF(ISBLANK(card_database!$H$24),-1,card_database!$H$24)</f>
        <v>-1</v>
      </c>
      <c r="I24">
        <f>IF(ISBLANK(card_database!$I$24),-1,MATCH(card_database!$I$24,属性, 0) - 1)</f>
        <v>-1</v>
      </c>
      <c r="J24">
        <f>IF(ISBLANK(card_database!$J$24),-1,MATCH(card_database!$J$24,種族, 0) - 1)</f>
        <v>-1</v>
      </c>
      <c r="K24">
        <f>IF(ISBLANK(card_database!$K$24),-1,card_database!$K$24)</f>
        <v>-1</v>
      </c>
      <c r="L24">
        <f>IF(ISBLANK(card_database!$L$24),-1,card_database!$L$24)</f>
        <v>-1</v>
      </c>
      <c r="M24">
        <f>IF(ISBLANK(card_database!$M$24),-1,card_database!$M$24)</f>
        <v>-1</v>
      </c>
      <c r="N24">
        <f>IF(ISBLANK(card_database!$N$24),-1,card_database!$N$24)</f>
        <v>-1</v>
      </c>
      <c r="O24">
        <f>IF(ISBLANK(card_database!$O$24),-1,card_database!$O$24)</f>
        <v>-1</v>
      </c>
      <c r="P24">
        <f>IF(ISBLANK(card_database!$P$24),-1,MATCH(card_database!$P$24,条件, 0) - 1)</f>
        <v>-1</v>
      </c>
      <c r="Q24">
        <f>IF(ISBLANK(card_database!$Q$24),-1,MATCH(card_database!$Q$24,条件, 0) - 1)</f>
        <v>-1</v>
      </c>
      <c r="R24">
        <f>IF(ISBLANK(card_database!$R$24),-1,card_database!$R$24)</f>
        <v>-1</v>
      </c>
      <c r="S24">
        <f>IF(ISBLANK(card_database!$S$24),-1,card_database!$S$24)</f>
        <v>-1</v>
      </c>
      <c r="T24">
        <f>IF(ISBLANK(card_database!$T$24),-1,MATCH(card_database!$T$24,効果, 0) - 1)</f>
        <v>-1</v>
      </c>
      <c r="U24">
        <f>IF(ISBLANK(card_database!$U$24),-1,card_database!$U$24)</f>
        <v>-1</v>
      </c>
      <c r="V24">
        <f>IF(ISBLANK(card_database!$V$24),-1,card_database!$V$24)</f>
        <v>-1</v>
      </c>
      <c r="W24">
        <f>IF(ISBLANK(card_database!$W$24),-1,MATCH(card_database!$W$24,条件, 0) - 1)</f>
        <v>-1</v>
      </c>
      <c r="X24">
        <f>IF(ISBLANK(card_database!$X$24),-1,card_database!$X$24)</f>
        <v>-1</v>
      </c>
      <c r="Y24">
        <f>IF(ISBLANK(card_database!$Y$24),-1,card_database!$Y$24)</f>
        <v>-1</v>
      </c>
      <c r="Z24">
        <f>IF(ISBLANK(card_database!$Z$24),-1,MATCH(card_database!$Z$24,効果, 0) - 1)</f>
        <v>-1</v>
      </c>
      <c r="AA24">
        <f>IF(ISBLANK(card_database!$AA$24),-1,card_database!$AA$24)</f>
        <v>-1</v>
      </c>
      <c r="AB24">
        <f>IF(ISBLANK(card_database!$AB$24),-1,card_database!$AB$24)</f>
        <v>-1</v>
      </c>
      <c r="AC24">
        <f>IF(ISBLANK(card_database!$AC$24),-1,MATCH(card_database!$AC$24,条件, 0) - 1)</f>
        <v>-1</v>
      </c>
      <c r="AD24">
        <f>IF(ISBLANK(card_database!$AD$24),-1,card_database!$AD$24)</f>
        <v>-1</v>
      </c>
      <c r="AE24">
        <f>IF(ISBLANK(card_database!$AE$24),-1,card_database!$AE$24)</f>
        <v>-1</v>
      </c>
      <c r="AF24">
        <f>IF(ISBLANK(card_database!$AF$24),-1,MATCH(card_database!$AF$24,効果, 0) - 1)</f>
        <v>-1</v>
      </c>
      <c r="AG24">
        <f>IF(ISBLANK(card_database!$AG$24),-1,card_database!$AG$24)</f>
        <v>-1</v>
      </c>
      <c r="AH24">
        <f>IF(ISBLANK(card_database!$AH$24),-1,card_database!$AH$24)</f>
        <v>-1</v>
      </c>
      <c r="AI24">
        <f>IF(ISBLANK(card_database!$AI$24),-1,MATCH(card_database!$AI$24,条件, 0) - 1)</f>
        <v>-1</v>
      </c>
      <c r="AJ24">
        <f>IF(ISBLANK(card_database!$AJ$24),-1,card_database!$AJ$24)</f>
        <v>-1</v>
      </c>
      <c r="AK24">
        <f>IF(ISBLANK(card_database!$AK$24),-1,card_database!$AK$24)</f>
        <v>-1</v>
      </c>
      <c r="AL24">
        <f>IF(ISBLANK(card_database!$AL$24),-1,MATCH(card_database!$AL$24,わざ, 0) - 1)</f>
        <v>-1</v>
      </c>
      <c r="AM24">
        <f>IF(ISBLANK(card_database!$AM$24),-1,card_database!$AM$24)</f>
        <v>-1</v>
      </c>
      <c r="AN24">
        <f>IF(ISBLANK(card_database!$AN$24),-1,card_database!$AN$24)</f>
        <v>-1</v>
      </c>
      <c r="AO24">
        <f>IF(ISBLANK(card_database!$AO$24),-1,MATCH(card_database!$AO$24,条件, 0) - 1)</f>
        <v>-1</v>
      </c>
      <c r="AP24">
        <f>IF(ISBLANK(card_database!$AP$24),-1,card_database!$AP$24)</f>
        <v>-1</v>
      </c>
      <c r="AQ24">
        <f>IF(ISBLANK(card_database!$AQ$24),-1,card_database!$AQ$24)</f>
        <v>-1</v>
      </c>
      <c r="AR24">
        <f>IF(ISBLANK(card_database!$AR$24),-1,MATCH(card_database!$AR$24,わざ, 0) - 1)</f>
        <v>-1</v>
      </c>
      <c r="AS24">
        <f>IF(ISBLANK(card_database!$AS$24),-1,card_database!$AS$24)</f>
        <v>-1</v>
      </c>
      <c r="AT24">
        <f>IF(ISBLANK(card_database!$AT$24),-1,card_database!$AT$24)</f>
        <v>-1</v>
      </c>
      <c r="AU24">
        <f>IF(ISBLANK(card_database!$AU$24),-1,MATCH(card_database!$AU$24,条件, 0) - 1)</f>
        <v>-1</v>
      </c>
      <c r="AV24">
        <f>IF(ISBLANK(card_database!$AV$24),-1,card_database!$AV$24)</f>
        <v>-1</v>
      </c>
      <c r="AW24">
        <f>IF(ISBLANK(card_database!$AW$24),-1,card_database!$AW$24)</f>
        <v>-1</v>
      </c>
      <c r="AX24">
        <f>IF(ISBLANK(card_database!$AX$24),-1,MATCH(card_database!$AX$24,わざ, 0) - 1)</f>
        <v>-1</v>
      </c>
      <c r="AY24">
        <f>IF(ISBLANK(card_database!$AY$24),-1,card_database!$AY$24)</f>
        <v>-1</v>
      </c>
      <c r="AZ24">
        <f>IF(ISBLANK(card_database!$AZ$24),-1,card_database!$AZ$24)</f>
        <v>-1</v>
      </c>
      <c r="BA24">
        <f>IF(ISBLANK(card_database!$BA$24),-1,MATCH(card_database!$BA$24,条件, 0) - 1)</f>
        <v>-1</v>
      </c>
      <c r="BB24">
        <f>IF(ISBLANK(card_database!$BB$24),-1,card_database!$BB$24)</f>
        <v>-1</v>
      </c>
      <c r="BC24">
        <f>IF(ISBLANK(card_database!$BC$24),-1,card_database!$BC$24)</f>
        <v>-1</v>
      </c>
      <c r="BD24">
        <f>IF(ISBLANK(card_database!$BD$24),-1,MATCH(card_database!$BD$24,わざ, 0) - 1)</f>
        <v>-1</v>
      </c>
      <c r="BE24">
        <f>IF(ISBLANK(card_database!$BE$24),-1,card_database!$BE$24)</f>
        <v>-1</v>
      </c>
      <c r="BF24">
        <f>IF(ISBLANK(card_database!$BF$24),-1,card_database!$BF$24)</f>
        <v>-1</v>
      </c>
      <c r="BG24">
        <f>IF(ISBLANK(card_database!$BG$24),-1,card_database!$BG$24)</f>
        <v>-1</v>
      </c>
      <c r="BH24">
        <f>IF(ISBLANK(card_database!$BB$24),-1,card_database!$BB$24)</f>
        <v>-1</v>
      </c>
      <c r="BI24">
        <f>IF(ISBLANK(card_database!$BC$24),-1,card_database!$BC$24)</f>
        <v>-1</v>
      </c>
      <c r="BJ24">
        <f>IF(ISBLANK(card_database!$BD$24),-1,MATCH(card_database!$BD$24,わざ, 0) - 1)</f>
        <v>-1</v>
      </c>
    </row>
    <row r="25" spans="1:62" x14ac:dyDescent="0.55000000000000004">
      <c r="A25">
        <f>IF(ISBLANK(card_database!$A$25),-1,card_database!$A$25)</f>
        <v>19</v>
      </c>
      <c r="B25" t="str">
        <f>IF(ISBLANK(card_database!$B$25),-1,card_database!$B$25)</f>
        <v>チェンジ・スライム</v>
      </c>
      <c r="C25" t="str">
        <f>IF(ISBLANK(card_database!$C$25),-1,card_database!$C$25)</f>
        <v>形を自由に変え、様々なものに変身するスライム。</v>
      </c>
      <c r="D25">
        <f>IF(ISBLANK(card_database!$D$25),-1,card_database!$D$25)</f>
        <v>19</v>
      </c>
      <c r="E25">
        <f>IF(ISBLANK(card_database!$E$25),-1,MATCH(card_database!$E$25,タイプ, 0) - 1)</f>
        <v>-1</v>
      </c>
      <c r="F25">
        <f>IF(ISBLANK(card_database!$F$25),-1,MATCH(card_database!$F$25,タイプ詳細, 0) - 1)</f>
        <v>-1</v>
      </c>
      <c r="G25">
        <f>IF(ISBLANK(card_database!$G$25),-1,card_database!$G$25)</f>
        <v>-1</v>
      </c>
      <c r="H25">
        <f>IF(ISBLANK(card_database!$H$25),-1,card_database!$H$25)</f>
        <v>-1</v>
      </c>
      <c r="I25">
        <f>IF(ISBLANK(card_database!$I$25),-1,MATCH(card_database!$I$25,属性, 0) - 1)</f>
        <v>-1</v>
      </c>
      <c r="J25">
        <f>IF(ISBLANK(card_database!$J$25),-1,MATCH(card_database!$J$25,種族, 0) - 1)</f>
        <v>-1</v>
      </c>
      <c r="K25">
        <f>IF(ISBLANK(card_database!$K$25),-1,card_database!$K$25)</f>
        <v>-1</v>
      </c>
      <c r="L25">
        <f>IF(ISBLANK(card_database!$L$25),-1,card_database!$L$25)</f>
        <v>-1</v>
      </c>
      <c r="M25">
        <f>IF(ISBLANK(card_database!$M$25),-1,card_database!$M$25)</f>
        <v>-1</v>
      </c>
      <c r="N25">
        <f>IF(ISBLANK(card_database!$N$25),-1,card_database!$N$25)</f>
        <v>-1</v>
      </c>
      <c r="O25">
        <f>IF(ISBLANK(card_database!$O$25),-1,card_database!$O$25)</f>
        <v>-1</v>
      </c>
      <c r="P25">
        <f>IF(ISBLANK(card_database!$P$25),-1,MATCH(card_database!$P$25,条件, 0) - 1)</f>
        <v>-1</v>
      </c>
      <c r="Q25">
        <f>IF(ISBLANK(card_database!$Q$25),-1,MATCH(card_database!$Q$25,条件, 0) - 1)</f>
        <v>-1</v>
      </c>
      <c r="R25">
        <f>IF(ISBLANK(card_database!$R$25),-1,card_database!$R$25)</f>
        <v>-1</v>
      </c>
      <c r="S25">
        <f>IF(ISBLANK(card_database!$S$25),-1,card_database!$S$25)</f>
        <v>-1</v>
      </c>
      <c r="T25">
        <f>IF(ISBLANK(card_database!$T$25),-1,MATCH(card_database!$T$25,効果, 0) - 1)</f>
        <v>-1</v>
      </c>
      <c r="U25">
        <f>IF(ISBLANK(card_database!$U$25),-1,card_database!$U$25)</f>
        <v>-1</v>
      </c>
      <c r="V25">
        <f>IF(ISBLANK(card_database!$V$25),-1,card_database!$V$25)</f>
        <v>-1</v>
      </c>
      <c r="W25">
        <f>IF(ISBLANK(card_database!$W$25),-1,MATCH(card_database!$W$25,条件, 0) - 1)</f>
        <v>-1</v>
      </c>
      <c r="X25">
        <f>IF(ISBLANK(card_database!$X$25),-1,card_database!$X$25)</f>
        <v>-1</v>
      </c>
      <c r="Y25">
        <f>IF(ISBLANK(card_database!$Y$25),-1,card_database!$Y$25)</f>
        <v>-1</v>
      </c>
      <c r="Z25">
        <f>IF(ISBLANK(card_database!$Z$25),-1,MATCH(card_database!$Z$25,効果, 0) - 1)</f>
        <v>-1</v>
      </c>
      <c r="AA25">
        <f>IF(ISBLANK(card_database!$AA$25),-1,card_database!$AA$25)</f>
        <v>-1</v>
      </c>
      <c r="AB25">
        <f>IF(ISBLANK(card_database!$AB$25),-1,card_database!$AB$25)</f>
        <v>-1</v>
      </c>
      <c r="AC25">
        <f>IF(ISBLANK(card_database!$AC$25),-1,MATCH(card_database!$AC$25,条件, 0) - 1)</f>
        <v>-1</v>
      </c>
      <c r="AD25">
        <f>IF(ISBLANK(card_database!$AD$25),-1,card_database!$AD$25)</f>
        <v>-1</v>
      </c>
      <c r="AE25">
        <f>IF(ISBLANK(card_database!$AE$25),-1,card_database!$AE$25)</f>
        <v>-1</v>
      </c>
      <c r="AF25">
        <f>IF(ISBLANK(card_database!$AF$25),-1,MATCH(card_database!$AF$25,効果, 0) - 1)</f>
        <v>-1</v>
      </c>
      <c r="AG25">
        <f>IF(ISBLANK(card_database!$AG$25),-1,card_database!$AG$25)</f>
        <v>-1</v>
      </c>
      <c r="AH25">
        <f>IF(ISBLANK(card_database!$AH$25),-1,card_database!$AH$25)</f>
        <v>-1</v>
      </c>
      <c r="AI25">
        <f>IF(ISBLANK(card_database!$AI$25),-1,MATCH(card_database!$AI$25,条件, 0) - 1)</f>
        <v>-1</v>
      </c>
      <c r="AJ25">
        <f>IF(ISBLANK(card_database!$AJ$25),-1,card_database!$AJ$25)</f>
        <v>-1</v>
      </c>
      <c r="AK25">
        <f>IF(ISBLANK(card_database!$AK$25),-1,card_database!$AK$25)</f>
        <v>-1</v>
      </c>
      <c r="AL25">
        <f>IF(ISBLANK(card_database!$AL$25),-1,MATCH(card_database!$AL$25,わざ, 0) - 1)</f>
        <v>-1</v>
      </c>
      <c r="AM25">
        <f>IF(ISBLANK(card_database!$AM$25),-1,card_database!$AM$25)</f>
        <v>-1</v>
      </c>
      <c r="AN25">
        <f>IF(ISBLANK(card_database!$AN$25),-1,card_database!$AN$25)</f>
        <v>-1</v>
      </c>
      <c r="AO25">
        <f>IF(ISBLANK(card_database!$AO$25),-1,MATCH(card_database!$AO$25,条件, 0) - 1)</f>
        <v>-1</v>
      </c>
      <c r="AP25">
        <f>IF(ISBLANK(card_database!$AP$25),-1,card_database!$AP$25)</f>
        <v>-1</v>
      </c>
      <c r="AQ25">
        <f>IF(ISBLANK(card_database!$AQ$25),-1,card_database!$AQ$25)</f>
        <v>-1</v>
      </c>
      <c r="AR25">
        <f>IF(ISBLANK(card_database!$AR$25),-1,MATCH(card_database!$AR$25,わざ, 0) - 1)</f>
        <v>-1</v>
      </c>
      <c r="AS25">
        <f>IF(ISBLANK(card_database!$AS$25),-1,card_database!$AS$25)</f>
        <v>-1</v>
      </c>
      <c r="AT25">
        <f>IF(ISBLANK(card_database!$AT$25),-1,card_database!$AT$25)</f>
        <v>-1</v>
      </c>
      <c r="AU25">
        <f>IF(ISBLANK(card_database!$AU$25),-1,MATCH(card_database!$AU$25,条件, 0) - 1)</f>
        <v>-1</v>
      </c>
      <c r="AV25">
        <f>IF(ISBLANK(card_database!$AV$25),-1,card_database!$AV$25)</f>
        <v>-1</v>
      </c>
      <c r="AW25">
        <f>IF(ISBLANK(card_database!$AW$25),-1,card_database!$AW$25)</f>
        <v>-1</v>
      </c>
      <c r="AX25">
        <f>IF(ISBLANK(card_database!$AX$25),-1,MATCH(card_database!$AX$25,わざ, 0) - 1)</f>
        <v>-1</v>
      </c>
      <c r="AY25">
        <f>IF(ISBLANK(card_database!$AY$25),-1,card_database!$AY$25)</f>
        <v>-1</v>
      </c>
      <c r="AZ25">
        <f>IF(ISBLANK(card_database!$AZ$25),-1,card_database!$AZ$25)</f>
        <v>-1</v>
      </c>
      <c r="BA25">
        <f>IF(ISBLANK(card_database!$BA$25),-1,MATCH(card_database!$BA$25,条件, 0) - 1)</f>
        <v>-1</v>
      </c>
      <c r="BB25">
        <f>IF(ISBLANK(card_database!$BB$25),-1,card_database!$BB$25)</f>
        <v>-1</v>
      </c>
      <c r="BC25">
        <f>IF(ISBLANK(card_database!$BC$25),-1,card_database!$BC$25)</f>
        <v>-1</v>
      </c>
      <c r="BD25">
        <f>IF(ISBLANK(card_database!$BD$25),-1,MATCH(card_database!$BD$25,わざ, 0) - 1)</f>
        <v>-1</v>
      </c>
      <c r="BE25">
        <f>IF(ISBLANK(card_database!$BE$25),-1,card_database!$BE$25)</f>
        <v>-1</v>
      </c>
      <c r="BF25">
        <f>IF(ISBLANK(card_database!$BF$25),-1,card_database!$BF$25)</f>
        <v>-1</v>
      </c>
      <c r="BG25">
        <f>IF(ISBLANK(card_database!$BG$25),-1,card_database!$BG$25)</f>
        <v>-1</v>
      </c>
      <c r="BH25">
        <f>IF(ISBLANK(card_database!$BB$25),-1,card_database!$BB$25)</f>
        <v>-1</v>
      </c>
      <c r="BI25">
        <f>IF(ISBLANK(card_database!$BC$25),-1,card_database!$BC$25)</f>
        <v>-1</v>
      </c>
      <c r="BJ25">
        <f>IF(ISBLANK(card_database!$BD$25),-1,MATCH(card_database!$BD$25,わざ, 0) - 1)</f>
        <v>-1</v>
      </c>
    </row>
    <row r="26" spans="1:62" x14ac:dyDescent="0.55000000000000004">
      <c r="A26">
        <f>IF(ISBLANK(card_database!$A$26),-1,card_database!$A$26)</f>
        <v>20</v>
      </c>
      <c r="B26" t="str">
        <f>IF(ISBLANK(card_database!$B$26),-1,card_database!$B$26)</f>
        <v>二つの口を持つ闇の支配者</v>
      </c>
      <c r="C26" t="str">
        <f>IF(ISBLANK(card_database!$C$26),-1,card_database!$C$26)</f>
        <v>口が二つある恐竜。ツノに蓄電し、背中の口から放電する。</v>
      </c>
      <c r="D26">
        <f>IF(ISBLANK(card_database!$D$26),-1,card_database!$D$26)</f>
        <v>20</v>
      </c>
      <c r="E26">
        <f>IF(ISBLANK(card_database!$E$26),-1,MATCH(card_database!$E$26,タイプ, 0) - 1)</f>
        <v>-1</v>
      </c>
      <c r="F26">
        <f>IF(ISBLANK(card_database!$F$26),-1,MATCH(card_database!$F$26,タイプ詳細, 0) - 1)</f>
        <v>-1</v>
      </c>
      <c r="G26">
        <f>IF(ISBLANK(card_database!$G$26),-1,card_database!$G$26)</f>
        <v>-1</v>
      </c>
      <c r="H26">
        <f>IF(ISBLANK(card_database!$H$26),-1,card_database!$H$26)</f>
        <v>-1</v>
      </c>
      <c r="I26">
        <f>IF(ISBLANK(card_database!$I$26),-1,MATCH(card_database!$I$26,属性, 0) - 1)</f>
        <v>-1</v>
      </c>
      <c r="J26">
        <f>IF(ISBLANK(card_database!$J$26),-1,MATCH(card_database!$J$26,種族, 0) - 1)</f>
        <v>-1</v>
      </c>
      <c r="K26">
        <f>IF(ISBLANK(card_database!$K$26),-1,card_database!$K$26)</f>
        <v>-1</v>
      </c>
      <c r="L26">
        <f>IF(ISBLANK(card_database!$L$26),-1,card_database!$L$26)</f>
        <v>-1</v>
      </c>
      <c r="M26">
        <f>IF(ISBLANK(card_database!$M$26),-1,card_database!$M$26)</f>
        <v>-1</v>
      </c>
      <c r="N26">
        <f>IF(ISBLANK(card_database!$N$26),-1,card_database!$N$26)</f>
        <v>-1</v>
      </c>
      <c r="O26">
        <f>IF(ISBLANK(card_database!$O$26),-1,card_database!$O$26)</f>
        <v>-1</v>
      </c>
      <c r="P26">
        <f>IF(ISBLANK(card_database!$P$26),-1,MATCH(card_database!$P$26,条件, 0) - 1)</f>
        <v>-1</v>
      </c>
      <c r="Q26">
        <f>IF(ISBLANK(card_database!$Q$26),-1,MATCH(card_database!$Q$26,条件, 0) - 1)</f>
        <v>-1</v>
      </c>
      <c r="R26">
        <f>IF(ISBLANK(card_database!$R$26),-1,card_database!$R$26)</f>
        <v>-1</v>
      </c>
      <c r="S26">
        <f>IF(ISBLANK(card_database!$S$26),-1,card_database!$S$26)</f>
        <v>-1</v>
      </c>
      <c r="T26">
        <f>IF(ISBLANK(card_database!$T$26),-1,MATCH(card_database!$T$26,効果, 0) - 1)</f>
        <v>-1</v>
      </c>
      <c r="U26">
        <f>IF(ISBLANK(card_database!$U$26),-1,card_database!$U$26)</f>
        <v>-1</v>
      </c>
      <c r="V26">
        <f>IF(ISBLANK(card_database!$V$26),-1,card_database!$V$26)</f>
        <v>-1</v>
      </c>
      <c r="W26">
        <f>IF(ISBLANK(card_database!$W$26),-1,MATCH(card_database!$W$26,条件, 0) - 1)</f>
        <v>-1</v>
      </c>
      <c r="X26">
        <f>IF(ISBLANK(card_database!$X$26),-1,card_database!$X$26)</f>
        <v>-1</v>
      </c>
      <c r="Y26">
        <f>IF(ISBLANK(card_database!$Y$26),-1,card_database!$Y$26)</f>
        <v>-1</v>
      </c>
      <c r="Z26">
        <f>IF(ISBLANK(card_database!$Z$26),-1,MATCH(card_database!$Z$26,効果, 0) - 1)</f>
        <v>-1</v>
      </c>
      <c r="AA26">
        <f>IF(ISBLANK(card_database!$AA$26),-1,card_database!$AA$26)</f>
        <v>-1</v>
      </c>
      <c r="AB26">
        <f>IF(ISBLANK(card_database!$AB$26),-1,card_database!$AB$26)</f>
        <v>-1</v>
      </c>
      <c r="AC26">
        <f>IF(ISBLANK(card_database!$AC$26),-1,MATCH(card_database!$AC$26,条件, 0) - 1)</f>
        <v>-1</v>
      </c>
      <c r="AD26">
        <f>IF(ISBLANK(card_database!$AD$26),-1,card_database!$AD$26)</f>
        <v>-1</v>
      </c>
      <c r="AE26">
        <f>IF(ISBLANK(card_database!$AE$26),-1,card_database!$AE$26)</f>
        <v>-1</v>
      </c>
      <c r="AF26">
        <f>IF(ISBLANK(card_database!$AF$26),-1,MATCH(card_database!$AF$26,効果, 0) - 1)</f>
        <v>-1</v>
      </c>
      <c r="AG26">
        <f>IF(ISBLANK(card_database!$AG$26),-1,card_database!$AG$26)</f>
        <v>-1</v>
      </c>
      <c r="AH26">
        <f>IF(ISBLANK(card_database!$AH$26),-1,card_database!$AH$26)</f>
        <v>-1</v>
      </c>
      <c r="AI26">
        <f>IF(ISBLANK(card_database!$AI$26),-1,MATCH(card_database!$AI$26,条件, 0) - 1)</f>
        <v>-1</v>
      </c>
      <c r="AJ26">
        <f>IF(ISBLANK(card_database!$AJ$26),-1,card_database!$AJ$26)</f>
        <v>-1</v>
      </c>
      <c r="AK26">
        <f>IF(ISBLANK(card_database!$AK$26),-1,card_database!$AK$26)</f>
        <v>-1</v>
      </c>
      <c r="AL26">
        <f>IF(ISBLANK(card_database!$AL$26),-1,MATCH(card_database!$AL$26,わざ, 0) - 1)</f>
        <v>-1</v>
      </c>
      <c r="AM26">
        <f>IF(ISBLANK(card_database!$AM$26),-1,card_database!$AM$26)</f>
        <v>-1</v>
      </c>
      <c r="AN26">
        <f>IF(ISBLANK(card_database!$AN$26),-1,card_database!$AN$26)</f>
        <v>-1</v>
      </c>
      <c r="AO26">
        <f>IF(ISBLANK(card_database!$AO$26),-1,MATCH(card_database!$AO$26,条件, 0) - 1)</f>
        <v>-1</v>
      </c>
      <c r="AP26">
        <f>IF(ISBLANK(card_database!$AP$26),-1,card_database!$AP$26)</f>
        <v>-1</v>
      </c>
      <c r="AQ26">
        <f>IF(ISBLANK(card_database!$AQ$26),-1,card_database!$AQ$26)</f>
        <v>-1</v>
      </c>
      <c r="AR26">
        <f>IF(ISBLANK(card_database!$AR$26),-1,MATCH(card_database!$AR$26,わざ, 0) - 1)</f>
        <v>-1</v>
      </c>
      <c r="AS26">
        <f>IF(ISBLANK(card_database!$AS$26),-1,card_database!$AS$26)</f>
        <v>-1</v>
      </c>
      <c r="AT26">
        <f>IF(ISBLANK(card_database!$AT$26),-1,card_database!$AT$26)</f>
        <v>-1</v>
      </c>
      <c r="AU26">
        <f>IF(ISBLANK(card_database!$AU$26),-1,MATCH(card_database!$AU$26,条件, 0) - 1)</f>
        <v>-1</v>
      </c>
      <c r="AV26">
        <f>IF(ISBLANK(card_database!$AV$26),-1,card_database!$AV$26)</f>
        <v>-1</v>
      </c>
      <c r="AW26">
        <f>IF(ISBLANK(card_database!$AW$26),-1,card_database!$AW$26)</f>
        <v>-1</v>
      </c>
      <c r="AX26">
        <f>IF(ISBLANK(card_database!$AX$26),-1,MATCH(card_database!$AX$26,わざ, 0) - 1)</f>
        <v>-1</v>
      </c>
      <c r="AY26">
        <f>IF(ISBLANK(card_database!$AY$26),-1,card_database!$AY$26)</f>
        <v>-1</v>
      </c>
      <c r="AZ26">
        <f>IF(ISBLANK(card_database!$AZ$26),-1,card_database!$AZ$26)</f>
        <v>-1</v>
      </c>
      <c r="BA26">
        <f>IF(ISBLANK(card_database!$BA$26),-1,MATCH(card_database!$BA$26,条件, 0) - 1)</f>
        <v>-1</v>
      </c>
      <c r="BB26">
        <f>IF(ISBLANK(card_database!$BB$26),-1,card_database!$BB$26)</f>
        <v>-1</v>
      </c>
      <c r="BC26">
        <f>IF(ISBLANK(card_database!$BC$26),-1,card_database!$BC$26)</f>
        <v>-1</v>
      </c>
      <c r="BD26">
        <f>IF(ISBLANK(card_database!$BD$26),-1,MATCH(card_database!$BD$26,わざ, 0) - 1)</f>
        <v>-1</v>
      </c>
      <c r="BE26">
        <f>IF(ISBLANK(card_database!$BE$26),-1,card_database!$BE$26)</f>
        <v>-1</v>
      </c>
      <c r="BF26">
        <f>IF(ISBLANK(card_database!$BF$26),-1,card_database!$BF$26)</f>
        <v>-1</v>
      </c>
      <c r="BG26">
        <f>IF(ISBLANK(card_database!$BG$26),-1,card_database!$BG$26)</f>
        <v>-1</v>
      </c>
      <c r="BH26">
        <f>IF(ISBLANK(card_database!$BB$26),-1,card_database!$BB$26)</f>
        <v>-1</v>
      </c>
      <c r="BI26">
        <f>IF(ISBLANK(card_database!$BC$26),-1,card_database!$BC$26)</f>
        <v>-1</v>
      </c>
      <c r="BJ26">
        <f>IF(ISBLANK(card_database!$BD$26),-1,MATCH(card_database!$BD$26,わざ, 0) - 1)</f>
        <v>-1</v>
      </c>
    </row>
    <row r="27" spans="1:62" x14ac:dyDescent="0.55000000000000004">
      <c r="A27">
        <f>IF(ISBLANK(card_database!$A$27),-1,card_database!$A$27)</f>
        <v>21</v>
      </c>
      <c r="B27" t="str">
        <f>IF(ISBLANK(card_database!$B$27),-1,card_database!$B$27)</f>
        <v>月の女神 エルザェム</v>
      </c>
      <c r="C27" t="str">
        <f>IF(ISBLANK(card_database!$C$27),-1,card_database!$C$27)</f>
        <v>月を守護するきれいな女神。月あかりのカーテンで攻撃を防ぐ。</v>
      </c>
      <c r="D27">
        <f>IF(ISBLANK(card_database!$D$27),-1,card_database!$D$27)</f>
        <v>21</v>
      </c>
      <c r="E27">
        <f>IF(ISBLANK(card_database!$E$27),-1,MATCH(card_database!$E$27,タイプ, 0) - 1)</f>
        <v>-1</v>
      </c>
      <c r="F27">
        <f>IF(ISBLANK(card_database!$F$27),-1,MATCH(card_database!$F$27,タイプ詳細, 0) - 1)</f>
        <v>-1</v>
      </c>
      <c r="G27">
        <f>IF(ISBLANK(card_database!$G$27),-1,card_database!$G$27)</f>
        <v>-1</v>
      </c>
      <c r="H27">
        <f>IF(ISBLANK(card_database!$H$27),-1,card_database!$H$27)</f>
        <v>-1</v>
      </c>
      <c r="I27">
        <f>IF(ISBLANK(card_database!$I$27),-1,MATCH(card_database!$I$27,属性, 0) - 1)</f>
        <v>-1</v>
      </c>
      <c r="J27">
        <f>IF(ISBLANK(card_database!$J$27),-1,MATCH(card_database!$J$27,種族, 0) - 1)</f>
        <v>-1</v>
      </c>
      <c r="K27">
        <f>IF(ISBLANK(card_database!$K$27),-1,card_database!$K$27)</f>
        <v>-1</v>
      </c>
      <c r="L27">
        <f>IF(ISBLANK(card_database!$L$27),-1,card_database!$L$27)</f>
        <v>-1</v>
      </c>
      <c r="M27">
        <f>IF(ISBLANK(card_database!$M$27),-1,card_database!$M$27)</f>
        <v>-1</v>
      </c>
      <c r="N27">
        <f>IF(ISBLANK(card_database!$N$27),-1,card_database!$N$27)</f>
        <v>-1</v>
      </c>
      <c r="O27">
        <f>IF(ISBLANK(card_database!$O$27),-1,card_database!$O$27)</f>
        <v>-1</v>
      </c>
      <c r="P27">
        <f>IF(ISBLANK(card_database!$P$27),-1,MATCH(card_database!$P$27,条件, 0) - 1)</f>
        <v>-1</v>
      </c>
      <c r="Q27">
        <f>IF(ISBLANK(card_database!$Q$27),-1,MATCH(card_database!$Q$27,条件, 0) - 1)</f>
        <v>-1</v>
      </c>
      <c r="R27">
        <f>IF(ISBLANK(card_database!$R$27),-1,card_database!$R$27)</f>
        <v>-1</v>
      </c>
      <c r="S27">
        <f>IF(ISBLANK(card_database!$S$27),-1,card_database!$S$27)</f>
        <v>-1</v>
      </c>
      <c r="T27">
        <f>IF(ISBLANK(card_database!$T$27),-1,MATCH(card_database!$T$27,効果, 0) - 1)</f>
        <v>-1</v>
      </c>
      <c r="U27">
        <f>IF(ISBLANK(card_database!$U$27),-1,card_database!$U$27)</f>
        <v>-1</v>
      </c>
      <c r="V27">
        <f>IF(ISBLANK(card_database!$V$27),-1,card_database!$V$27)</f>
        <v>-1</v>
      </c>
      <c r="W27">
        <f>IF(ISBLANK(card_database!$W$27),-1,MATCH(card_database!$W$27,条件, 0) - 1)</f>
        <v>-1</v>
      </c>
      <c r="X27">
        <f>IF(ISBLANK(card_database!$X$27),-1,card_database!$X$27)</f>
        <v>-1</v>
      </c>
      <c r="Y27">
        <f>IF(ISBLANK(card_database!$Y$27),-1,card_database!$Y$27)</f>
        <v>-1</v>
      </c>
      <c r="Z27">
        <f>IF(ISBLANK(card_database!$Z$27),-1,MATCH(card_database!$Z$27,効果, 0) - 1)</f>
        <v>-1</v>
      </c>
      <c r="AA27">
        <f>IF(ISBLANK(card_database!$AA$27),-1,card_database!$AA$27)</f>
        <v>-1</v>
      </c>
      <c r="AB27">
        <f>IF(ISBLANK(card_database!$AB$27),-1,card_database!$AB$27)</f>
        <v>-1</v>
      </c>
      <c r="AC27">
        <f>IF(ISBLANK(card_database!$AC$27),-1,MATCH(card_database!$AC$27,条件, 0) - 1)</f>
        <v>-1</v>
      </c>
      <c r="AD27">
        <f>IF(ISBLANK(card_database!$AD$27),-1,card_database!$AD$27)</f>
        <v>-1</v>
      </c>
      <c r="AE27">
        <f>IF(ISBLANK(card_database!$AE$27),-1,card_database!$AE$27)</f>
        <v>-1</v>
      </c>
      <c r="AF27">
        <f>IF(ISBLANK(card_database!$AF$27),-1,MATCH(card_database!$AF$27,効果, 0) - 1)</f>
        <v>-1</v>
      </c>
      <c r="AG27">
        <f>IF(ISBLANK(card_database!$AG$27),-1,card_database!$AG$27)</f>
        <v>-1</v>
      </c>
      <c r="AH27">
        <f>IF(ISBLANK(card_database!$AH$27),-1,card_database!$AH$27)</f>
        <v>-1</v>
      </c>
      <c r="AI27">
        <f>IF(ISBLANK(card_database!$AI$27),-1,MATCH(card_database!$AI$27,条件, 0) - 1)</f>
        <v>-1</v>
      </c>
      <c r="AJ27">
        <f>IF(ISBLANK(card_database!$AJ$27),-1,card_database!$AJ$27)</f>
        <v>-1</v>
      </c>
      <c r="AK27">
        <f>IF(ISBLANK(card_database!$AK$27),-1,card_database!$AK$27)</f>
        <v>-1</v>
      </c>
      <c r="AL27">
        <f>IF(ISBLANK(card_database!$AL$27),-1,MATCH(card_database!$AL$27,わざ, 0) - 1)</f>
        <v>-1</v>
      </c>
      <c r="AM27">
        <f>IF(ISBLANK(card_database!$AM$27),-1,card_database!$AM$27)</f>
        <v>-1</v>
      </c>
      <c r="AN27">
        <f>IF(ISBLANK(card_database!$AN$27),-1,card_database!$AN$27)</f>
        <v>-1</v>
      </c>
      <c r="AO27">
        <f>IF(ISBLANK(card_database!$AO$27),-1,MATCH(card_database!$AO$27,条件, 0) - 1)</f>
        <v>-1</v>
      </c>
      <c r="AP27">
        <f>IF(ISBLANK(card_database!$AP$27),-1,card_database!$AP$27)</f>
        <v>-1</v>
      </c>
      <c r="AQ27">
        <f>IF(ISBLANK(card_database!$AQ$27),-1,card_database!$AQ$27)</f>
        <v>-1</v>
      </c>
      <c r="AR27">
        <f>IF(ISBLANK(card_database!$AR$27),-1,MATCH(card_database!$AR$27,わざ, 0) - 1)</f>
        <v>-1</v>
      </c>
      <c r="AS27">
        <f>IF(ISBLANK(card_database!$AS$27),-1,card_database!$AS$27)</f>
        <v>-1</v>
      </c>
      <c r="AT27">
        <f>IF(ISBLANK(card_database!$AT$27),-1,card_database!$AT$27)</f>
        <v>-1</v>
      </c>
      <c r="AU27">
        <f>IF(ISBLANK(card_database!$AU$27),-1,MATCH(card_database!$AU$27,条件, 0) - 1)</f>
        <v>-1</v>
      </c>
      <c r="AV27">
        <f>IF(ISBLANK(card_database!$AV$27),-1,card_database!$AV$27)</f>
        <v>-1</v>
      </c>
      <c r="AW27">
        <f>IF(ISBLANK(card_database!$AW$27),-1,card_database!$AW$27)</f>
        <v>-1</v>
      </c>
      <c r="AX27">
        <f>IF(ISBLANK(card_database!$AX$27),-1,MATCH(card_database!$AX$27,わざ, 0) - 1)</f>
        <v>-1</v>
      </c>
      <c r="AY27">
        <f>IF(ISBLANK(card_database!$AY$27),-1,card_database!$AY$27)</f>
        <v>-1</v>
      </c>
      <c r="AZ27">
        <f>IF(ISBLANK(card_database!$AZ$27),-1,card_database!$AZ$27)</f>
        <v>-1</v>
      </c>
      <c r="BA27">
        <f>IF(ISBLANK(card_database!$BA$27),-1,MATCH(card_database!$BA$27,条件, 0) - 1)</f>
        <v>-1</v>
      </c>
      <c r="BB27">
        <f>IF(ISBLANK(card_database!$BB$27),-1,card_database!$BB$27)</f>
        <v>-1</v>
      </c>
      <c r="BC27">
        <f>IF(ISBLANK(card_database!$BC$27),-1,card_database!$BC$27)</f>
        <v>-1</v>
      </c>
      <c r="BD27">
        <f>IF(ISBLANK(card_database!$BD$27),-1,MATCH(card_database!$BD$27,わざ, 0) - 1)</f>
        <v>-1</v>
      </c>
      <c r="BE27">
        <f>IF(ISBLANK(card_database!$BE$27),-1,card_database!$BE$27)</f>
        <v>-1</v>
      </c>
      <c r="BF27">
        <f>IF(ISBLANK(card_database!$BF$27),-1,card_database!$BF$27)</f>
        <v>-1</v>
      </c>
      <c r="BG27">
        <f>IF(ISBLANK(card_database!$BG$27),-1,card_database!$BG$27)</f>
        <v>-1</v>
      </c>
      <c r="BH27">
        <f>IF(ISBLANK(card_database!$BB$27),-1,card_database!$BB$27)</f>
        <v>-1</v>
      </c>
      <c r="BI27">
        <f>IF(ISBLANK(card_database!$BC$27),-1,card_database!$BC$27)</f>
        <v>-1</v>
      </c>
      <c r="BJ27">
        <f>IF(ISBLANK(card_database!$BD$27),-1,MATCH(card_database!$BD$27,わざ, 0) - 1)</f>
        <v>-1</v>
      </c>
    </row>
    <row r="28" spans="1:62" x14ac:dyDescent="0.55000000000000004">
      <c r="A28">
        <f>IF(ISBLANK(card_database!$A$28),-1,card_database!$A$28)</f>
        <v>22</v>
      </c>
      <c r="B28" t="str">
        <f>IF(ISBLANK(card_database!$B$28),-1,card_database!$B$28)</f>
        <v>デビル・スネーク</v>
      </c>
      <c r="C28" t="str">
        <f>IF(ISBLANK(card_database!$C$28),-1,card_database!$C$28)</f>
        <v>目が一つしかないヘビ。冷気をはき出し、相手を氷づけにする。</v>
      </c>
      <c r="D28">
        <f>IF(ISBLANK(card_database!$D$28),-1,card_database!$D$28)</f>
        <v>22</v>
      </c>
      <c r="E28">
        <f>IF(ISBLANK(card_database!$E$28),-1,MATCH(card_database!$E$28,タイプ, 0) - 1)</f>
        <v>-1</v>
      </c>
      <c r="F28">
        <f>IF(ISBLANK(card_database!$F$28),-1,MATCH(card_database!$F$28,タイプ詳細, 0) - 1)</f>
        <v>-1</v>
      </c>
      <c r="G28">
        <f>IF(ISBLANK(card_database!$G$28),-1,card_database!$G$28)</f>
        <v>-1</v>
      </c>
      <c r="H28">
        <f>IF(ISBLANK(card_database!$H$28),-1,card_database!$H$28)</f>
        <v>-1</v>
      </c>
      <c r="I28">
        <f>IF(ISBLANK(card_database!$I$28),-1,MATCH(card_database!$I$28,属性, 0) - 1)</f>
        <v>-1</v>
      </c>
      <c r="J28">
        <f>IF(ISBLANK(card_database!$J$28),-1,MATCH(card_database!$J$28,種族, 0) - 1)</f>
        <v>-1</v>
      </c>
      <c r="K28">
        <f>IF(ISBLANK(card_database!$K$28),-1,card_database!$K$28)</f>
        <v>-1</v>
      </c>
      <c r="L28">
        <f>IF(ISBLANK(card_database!$L$28),-1,card_database!$L$28)</f>
        <v>-1</v>
      </c>
      <c r="M28">
        <f>IF(ISBLANK(card_database!$M$28),-1,card_database!$M$28)</f>
        <v>-1</v>
      </c>
      <c r="N28">
        <f>IF(ISBLANK(card_database!$N$28),-1,card_database!$N$28)</f>
        <v>-1</v>
      </c>
      <c r="O28">
        <f>IF(ISBLANK(card_database!$O$28),-1,card_database!$O$28)</f>
        <v>-1</v>
      </c>
      <c r="P28">
        <f>IF(ISBLANK(card_database!$P$28),-1,MATCH(card_database!$P$28,条件, 0) - 1)</f>
        <v>-1</v>
      </c>
      <c r="Q28">
        <f>IF(ISBLANK(card_database!$Q$28),-1,MATCH(card_database!$Q$28,条件, 0) - 1)</f>
        <v>-1</v>
      </c>
      <c r="R28">
        <f>IF(ISBLANK(card_database!$R$28),-1,card_database!$R$28)</f>
        <v>-1</v>
      </c>
      <c r="S28">
        <f>IF(ISBLANK(card_database!$S$28),-1,card_database!$S$28)</f>
        <v>-1</v>
      </c>
      <c r="T28">
        <f>IF(ISBLANK(card_database!$T$28),-1,MATCH(card_database!$T$28,効果, 0) - 1)</f>
        <v>-1</v>
      </c>
      <c r="U28">
        <f>IF(ISBLANK(card_database!$U$28),-1,card_database!$U$28)</f>
        <v>-1</v>
      </c>
      <c r="V28">
        <f>IF(ISBLANK(card_database!$V$28),-1,card_database!$V$28)</f>
        <v>-1</v>
      </c>
      <c r="W28">
        <f>IF(ISBLANK(card_database!$W$28),-1,MATCH(card_database!$W$28,条件, 0) - 1)</f>
        <v>-1</v>
      </c>
      <c r="X28">
        <f>IF(ISBLANK(card_database!$X$28),-1,card_database!$X$28)</f>
        <v>-1</v>
      </c>
      <c r="Y28">
        <f>IF(ISBLANK(card_database!$Y$28),-1,card_database!$Y$28)</f>
        <v>-1</v>
      </c>
      <c r="Z28">
        <f>IF(ISBLANK(card_database!$Z$28),-1,MATCH(card_database!$Z$28,効果, 0) - 1)</f>
        <v>-1</v>
      </c>
      <c r="AA28">
        <f>IF(ISBLANK(card_database!$AA$28),-1,card_database!$AA$28)</f>
        <v>-1</v>
      </c>
      <c r="AB28">
        <f>IF(ISBLANK(card_database!$AB$28),-1,card_database!$AB$28)</f>
        <v>-1</v>
      </c>
      <c r="AC28">
        <f>IF(ISBLANK(card_database!$AC$28),-1,MATCH(card_database!$AC$28,条件, 0) - 1)</f>
        <v>-1</v>
      </c>
      <c r="AD28">
        <f>IF(ISBLANK(card_database!$AD$28),-1,card_database!$AD$28)</f>
        <v>-1</v>
      </c>
      <c r="AE28">
        <f>IF(ISBLANK(card_database!$AE$28),-1,card_database!$AE$28)</f>
        <v>-1</v>
      </c>
      <c r="AF28">
        <f>IF(ISBLANK(card_database!$AF$28),-1,MATCH(card_database!$AF$28,効果, 0) - 1)</f>
        <v>-1</v>
      </c>
      <c r="AG28">
        <f>IF(ISBLANK(card_database!$AG$28),-1,card_database!$AG$28)</f>
        <v>-1</v>
      </c>
      <c r="AH28">
        <f>IF(ISBLANK(card_database!$AH$28),-1,card_database!$AH$28)</f>
        <v>-1</v>
      </c>
      <c r="AI28">
        <f>IF(ISBLANK(card_database!$AI$28),-1,MATCH(card_database!$AI$28,条件, 0) - 1)</f>
        <v>-1</v>
      </c>
      <c r="AJ28">
        <f>IF(ISBLANK(card_database!$AJ$28),-1,card_database!$AJ$28)</f>
        <v>-1</v>
      </c>
      <c r="AK28">
        <f>IF(ISBLANK(card_database!$AK$28),-1,card_database!$AK$28)</f>
        <v>-1</v>
      </c>
      <c r="AL28">
        <f>IF(ISBLANK(card_database!$AL$28),-1,MATCH(card_database!$AL$28,わざ, 0) - 1)</f>
        <v>-1</v>
      </c>
      <c r="AM28">
        <f>IF(ISBLANK(card_database!$AM$28),-1,card_database!$AM$28)</f>
        <v>-1</v>
      </c>
      <c r="AN28">
        <f>IF(ISBLANK(card_database!$AN$28),-1,card_database!$AN$28)</f>
        <v>-1</v>
      </c>
      <c r="AO28">
        <f>IF(ISBLANK(card_database!$AO$28),-1,MATCH(card_database!$AO$28,条件, 0) - 1)</f>
        <v>-1</v>
      </c>
      <c r="AP28">
        <f>IF(ISBLANK(card_database!$AP$28),-1,card_database!$AP$28)</f>
        <v>-1</v>
      </c>
      <c r="AQ28">
        <f>IF(ISBLANK(card_database!$AQ$28),-1,card_database!$AQ$28)</f>
        <v>-1</v>
      </c>
      <c r="AR28">
        <f>IF(ISBLANK(card_database!$AR$28),-1,MATCH(card_database!$AR$28,わざ, 0) - 1)</f>
        <v>-1</v>
      </c>
      <c r="AS28">
        <f>IF(ISBLANK(card_database!$AS$28),-1,card_database!$AS$28)</f>
        <v>-1</v>
      </c>
      <c r="AT28">
        <f>IF(ISBLANK(card_database!$AT$28),-1,card_database!$AT$28)</f>
        <v>-1</v>
      </c>
      <c r="AU28">
        <f>IF(ISBLANK(card_database!$AU$28),-1,MATCH(card_database!$AU$28,条件, 0) - 1)</f>
        <v>-1</v>
      </c>
      <c r="AV28">
        <f>IF(ISBLANK(card_database!$AV$28),-1,card_database!$AV$28)</f>
        <v>-1</v>
      </c>
      <c r="AW28">
        <f>IF(ISBLANK(card_database!$AW$28),-1,card_database!$AW$28)</f>
        <v>-1</v>
      </c>
      <c r="AX28">
        <f>IF(ISBLANK(card_database!$AX$28),-1,MATCH(card_database!$AX$28,わざ, 0) - 1)</f>
        <v>-1</v>
      </c>
      <c r="AY28">
        <f>IF(ISBLANK(card_database!$AY$28),-1,card_database!$AY$28)</f>
        <v>-1</v>
      </c>
      <c r="AZ28">
        <f>IF(ISBLANK(card_database!$AZ$28),-1,card_database!$AZ$28)</f>
        <v>-1</v>
      </c>
      <c r="BA28">
        <f>IF(ISBLANK(card_database!$BA$28),-1,MATCH(card_database!$BA$28,条件, 0) - 1)</f>
        <v>-1</v>
      </c>
      <c r="BB28">
        <f>IF(ISBLANK(card_database!$BB$28),-1,card_database!$BB$28)</f>
        <v>-1</v>
      </c>
      <c r="BC28">
        <f>IF(ISBLANK(card_database!$BC$28),-1,card_database!$BC$28)</f>
        <v>-1</v>
      </c>
      <c r="BD28">
        <f>IF(ISBLANK(card_database!$BD$28),-1,MATCH(card_database!$BD$28,わざ, 0) - 1)</f>
        <v>-1</v>
      </c>
      <c r="BE28">
        <f>IF(ISBLANK(card_database!$BE$28),-1,card_database!$BE$28)</f>
        <v>-1</v>
      </c>
      <c r="BF28">
        <f>IF(ISBLANK(card_database!$BF$28),-1,card_database!$BF$28)</f>
        <v>-1</v>
      </c>
      <c r="BG28">
        <f>IF(ISBLANK(card_database!$BG$28),-1,card_database!$BG$28)</f>
        <v>-1</v>
      </c>
      <c r="BH28">
        <f>IF(ISBLANK(card_database!$BB$28),-1,card_database!$BB$28)</f>
        <v>-1</v>
      </c>
      <c r="BI28">
        <f>IF(ISBLANK(card_database!$BC$28),-1,card_database!$BC$28)</f>
        <v>-1</v>
      </c>
      <c r="BJ28">
        <f>IF(ISBLANK(card_database!$BD$28),-1,MATCH(card_database!$BD$28,わざ, 0) - 1)</f>
        <v>-1</v>
      </c>
    </row>
    <row r="29" spans="1:62" x14ac:dyDescent="0.55000000000000004">
      <c r="A29">
        <f>IF(ISBLANK(card_database!$A$29),-1,card_database!$A$29)</f>
        <v>23</v>
      </c>
      <c r="B29" t="str">
        <f>IF(ISBLANK(card_database!$B$29),-1,card_database!$B$29)</f>
        <v>デビルツムリ</v>
      </c>
      <c r="C29" t="str">
        <f>IF(ISBLANK(card_database!$C$29),-1,card_database!$C$29)</f>
        <v>闇の力で進化したカタツムリ。手や足があり、速く動ける。</v>
      </c>
      <c r="D29">
        <f>IF(ISBLANK(card_database!$D$29),-1,card_database!$D$29)</f>
        <v>23</v>
      </c>
      <c r="E29">
        <f>IF(ISBLANK(card_database!$E$29),-1,MATCH(card_database!$E$29,タイプ, 0) - 1)</f>
        <v>-1</v>
      </c>
      <c r="F29">
        <f>IF(ISBLANK(card_database!$F$29),-1,MATCH(card_database!$F$29,タイプ詳細, 0) - 1)</f>
        <v>-1</v>
      </c>
      <c r="G29">
        <f>IF(ISBLANK(card_database!$G$29),-1,card_database!$G$29)</f>
        <v>-1</v>
      </c>
      <c r="H29">
        <f>IF(ISBLANK(card_database!$H$29),-1,card_database!$H$29)</f>
        <v>-1</v>
      </c>
      <c r="I29">
        <f>IF(ISBLANK(card_database!$I$29),-1,MATCH(card_database!$I$29,属性, 0) - 1)</f>
        <v>-1</v>
      </c>
      <c r="J29">
        <f>IF(ISBLANK(card_database!$J$29),-1,MATCH(card_database!$J$29,種族, 0) - 1)</f>
        <v>-1</v>
      </c>
      <c r="K29">
        <f>IF(ISBLANK(card_database!$K$29),-1,card_database!$K$29)</f>
        <v>-1</v>
      </c>
      <c r="L29">
        <f>IF(ISBLANK(card_database!$L$29),-1,card_database!$L$29)</f>
        <v>-1</v>
      </c>
      <c r="M29">
        <f>IF(ISBLANK(card_database!$M$29),-1,card_database!$M$29)</f>
        <v>-1</v>
      </c>
      <c r="N29">
        <f>IF(ISBLANK(card_database!$N$29),-1,card_database!$N$29)</f>
        <v>-1</v>
      </c>
      <c r="O29">
        <f>IF(ISBLANK(card_database!$O$29),-1,card_database!$O$29)</f>
        <v>-1</v>
      </c>
      <c r="P29">
        <f>IF(ISBLANK(card_database!$P$29),-1,MATCH(card_database!$P$29,条件, 0) - 1)</f>
        <v>-1</v>
      </c>
      <c r="Q29">
        <f>IF(ISBLANK(card_database!$Q$29),-1,MATCH(card_database!$Q$29,条件, 0) - 1)</f>
        <v>-1</v>
      </c>
      <c r="R29">
        <f>IF(ISBLANK(card_database!$R$29),-1,card_database!$R$29)</f>
        <v>-1</v>
      </c>
      <c r="S29">
        <f>IF(ISBLANK(card_database!$S$29),-1,card_database!$S$29)</f>
        <v>-1</v>
      </c>
      <c r="T29">
        <f>IF(ISBLANK(card_database!$T$29),-1,MATCH(card_database!$T$29,効果, 0) - 1)</f>
        <v>-1</v>
      </c>
      <c r="U29">
        <f>IF(ISBLANK(card_database!$U$29),-1,card_database!$U$29)</f>
        <v>-1</v>
      </c>
      <c r="V29">
        <f>IF(ISBLANK(card_database!$V$29),-1,card_database!$V$29)</f>
        <v>-1</v>
      </c>
      <c r="W29">
        <f>IF(ISBLANK(card_database!$W$29),-1,MATCH(card_database!$W$29,条件, 0) - 1)</f>
        <v>-1</v>
      </c>
      <c r="X29">
        <f>IF(ISBLANK(card_database!$X$29),-1,card_database!$X$29)</f>
        <v>-1</v>
      </c>
      <c r="Y29">
        <f>IF(ISBLANK(card_database!$Y$29),-1,card_database!$Y$29)</f>
        <v>-1</v>
      </c>
      <c r="Z29">
        <f>IF(ISBLANK(card_database!$Z$29),-1,MATCH(card_database!$Z$29,効果, 0) - 1)</f>
        <v>-1</v>
      </c>
      <c r="AA29">
        <f>IF(ISBLANK(card_database!$AA$29),-1,card_database!$AA$29)</f>
        <v>-1</v>
      </c>
      <c r="AB29">
        <f>IF(ISBLANK(card_database!$AB$29),-1,card_database!$AB$29)</f>
        <v>-1</v>
      </c>
      <c r="AC29">
        <f>IF(ISBLANK(card_database!$AC$29),-1,MATCH(card_database!$AC$29,条件, 0) - 1)</f>
        <v>-1</v>
      </c>
      <c r="AD29">
        <f>IF(ISBLANK(card_database!$AD$29),-1,card_database!$AD$29)</f>
        <v>-1</v>
      </c>
      <c r="AE29">
        <f>IF(ISBLANK(card_database!$AE$29),-1,card_database!$AE$29)</f>
        <v>-1</v>
      </c>
      <c r="AF29">
        <f>IF(ISBLANK(card_database!$AF$29),-1,MATCH(card_database!$AF$29,効果, 0) - 1)</f>
        <v>-1</v>
      </c>
      <c r="AG29">
        <f>IF(ISBLANK(card_database!$AG$29),-1,card_database!$AG$29)</f>
        <v>-1</v>
      </c>
      <c r="AH29">
        <f>IF(ISBLANK(card_database!$AH$29),-1,card_database!$AH$29)</f>
        <v>-1</v>
      </c>
      <c r="AI29">
        <f>IF(ISBLANK(card_database!$AI$29),-1,MATCH(card_database!$AI$29,条件, 0) - 1)</f>
        <v>-1</v>
      </c>
      <c r="AJ29">
        <f>IF(ISBLANK(card_database!$AJ$29),-1,card_database!$AJ$29)</f>
        <v>-1</v>
      </c>
      <c r="AK29">
        <f>IF(ISBLANK(card_database!$AK$29),-1,card_database!$AK$29)</f>
        <v>-1</v>
      </c>
      <c r="AL29">
        <f>IF(ISBLANK(card_database!$AL$29),-1,MATCH(card_database!$AL$29,わざ, 0) - 1)</f>
        <v>-1</v>
      </c>
      <c r="AM29">
        <f>IF(ISBLANK(card_database!$AM$29),-1,card_database!$AM$29)</f>
        <v>-1</v>
      </c>
      <c r="AN29">
        <f>IF(ISBLANK(card_database!$AN$29),-1,card_database!$AN$29)</f>
        <v>-1</v>
      </c>
      <c r="AO29">
        <f>IF(ISBLANK(card_database!$AO$29),-1,MATCH(card_database!$AO$29,条件, 0) - 1)</f>
        <v>-1</v>
      </c>
      <c r="AP29">
        <f>IF(ISBLANK(card_database!$AP$29),-1,card_database!$AP$29)</f>
        <v>-1</v>
      </c>
      <c r="AQ29">
        <f>IF(ISBLANK(card_database!$AQ$29),-1,card_database!$AQ$29)</f>
        <v>-1</v>
      </c>
      <c r="AR29">
        <f>IF(ISBLANK(card_database!$AR$29),-1,MATCH(card_database!$AR$29,わざ, 0) - 1)</f>
        <v>-1</v>
      </c>
      <c r="AS29">
        <f>IF(ISBLANK(card_database!$AS$29),-1,card_database!$AS$29)</f>
        <v>-1</v>
      </c>
      <c r="AT29">
        <f>IF(ISBLANK(card_database!$AT$29),-1,card_database!$AT$29)</f>
        <v>-1</v>
      </c>
      <c r="AU29">
        <f>IF(ISBLANK(card_database!$AU$29),-1,MATCH(card_database!$AU$29,条件, 0) - 1)</f>
        <v>-1</v>
      </c>
      <c r="AV29">
        <f>IF(ISBLANK(card_database!$AV$29),-1,card_database!$AV$29)</f>
        <v>-1</v>
      </c>
      <c r="AW29">
        <f>IF(ISBLANK(card_database!$AW$29),-1,card_database!$AW$29)</f>
        <v>-1</v>
      </c>
      <c r="AX29">
        <f>IF(ISBLANK(card_database!$AX$29),-1,MATCH(card_database!$AX$29,わざ, 0) - 1)</f>
        <v>-1</v>
      </c>
      <c r="AY29">
        <f>IF(ISBLANK(card_database!$AY$29),-1,card_database!$AY$29)</f>
        <v>-1</v>
      </c>
      <c r="AZ29">
        <f>IF(ISBLANK(card_database!$AZ$29),-1,card_database!$AZ$29)</f>
        <v>-1</v>
      </c>
      <c r="BA29">
        <f>IF(ISBLANK(card_database!$BA$29),-1,MATCH(card_database!$BA$29,条件, 0) - 1)</f>
        <v>-1</v>
      </c>
      <c r="BB29">
        <f>IF(ISBLANK(card_database!$BB$29),-1,card_database!$BB$29)</f>
        <v>-1</v>
      </c>
      <c r="BC29">
        <f>IF(ISBLANK(card_database!$BC$29),-1,card_database!$BC$29)</f>
        <v>-1</v>
      </c>
      <c r="BD29">
        <f>IF(ISBLANK(card_database!$BD$29),-1,MATCH(card_database!$BD$29,わざ, 0) - 1)</f>
        <v>-1</v>
      </c>
      <c r="BE29">
        <f>IF(ISBLANK(card_database!$BE$29),-1,card_database!$BE$29)</f>
        <v>-1</v>
      </c>
      <c r="BF29">
        <f>IF(ISBLANK(card_database!$BF$29),-1,card_database!$BF$29)</f>
        <v>-1</v>
      </c>
      <c r="BG29">
        <f>IF(ISBLANK(card_database!$BG$29),-1,card_database!$BG$29)</f>
        <v>-1</v>
      </c>
      <c r="BH29">
        <f>IF(ISBLANK(card_database!$BB$29),-1,card_database!$BB$29)</f>
        <v>-1</v>
      </c>
      <c r="BI29">
        <f>IF(ISBLANK(card_database!$BC$29),-1,card_database!$BC$29)</f>
        <v>-1</v>
      </c>
      <c r="BJ29">
        <f>IF(ISBLANK(card_database!$BD$29),-1,MATCH(card_database!$BD$29,わざ, 0) - 1)</f>
        <v>-1</v>
      </c>
    </row>
    <row r="30" spans="1:62" x14ac:dyDescent="0.55000000000000004">
      <c r="A30">
        <f>IF(ISBLANK(card_database!$A$30),-1,card_database!$A$30)</f>
        <v>24</v>
      </c>
      <c r="B30" t="str">
        <f>IF(ISBLANK(card_database!$B$30),-1,card_database!$B$30)</f>
        <v>タートル・タイガー</v>
      </c>
      <c r="C30" t="str">
        <f>IF(ISBLANK(card_database!$C$30),-1,card_database!$C$30)</f>
        <v>甲羅を持ったトラ。硬い甲羅で身を守り、鋭いキバで攻撃する。</v>
      </c>
      <c r="D30">
        <f>IF(ISBLANK(card_database!$D$30),-1,card_database!$D$30)</f>
        <v>24</v>
      </c>
      <c r="E30">
        <f>IF(ISBLANK(card_database!$E$30),-1,MATCH(card_database!$E$30,タイプ, 0) - 1)</f>
        <v>-1</v>
      </c>
      <c r="F30">
        <f>IF(ISBLANK(card_database!$F$30),-1,MATCH(card_database!$F$30,タイプ詳細, 0) - 1)</f>
        <v>-1</v>
      </c>
      <c r="G30">
        <f>IF(ISBLANK(card_database!$G$30),-1,card_database!$G$30)</f>
        <v>-1</v>
      </c>
      <c r="H30">
        <f>IF(ISBLANK(card_database!$H$30),-1,card_database!$H$30)</f>
        <v>-1</v>
      </c>
      <c r="I30">
        <f>IF(ISBLANK(card_database!$I$30),-1,MATCH(card_database!$I$30,属性, 0) - 1)</f>
        <v>-1</v>
      </c>
      <c r="J30">
        <f>IF(ISBLANK(card_database!$J$30),-1,MATCH(card_database!$J$30,種族, 0) - 1)</f>
        <v>-1</v>
      </c>
      <c r="K30">
        <f>IF(ISBLANK(card_database!$K$30),-1,card_database!$K$30)</f>
        <v>-1</v>
      </c>
      <c r="L30">
        <f>IF(ISBLANK(card_database!$L$30),-1,card_database!$L$30)</f>
        <v>-1</v>
      </c>
      <c r="M30">
        <f>IF(ISBLANK(card_database!$M$30),-1,card_database!$M$30)</f>
        <v>-1</v>
      </c>
      <c r="N30">
        <f>IF(ISBLANK(card_database!$N$30),-1,card_database!$N$30)</f>
        <v>-1</v>
      </c>
      <c r="O30">
        <f>IF(ISBLANK(card_database!$O$30),-1,card_database!$O$30)</f>
        <v>-1</v>
      </c>
      <c r="P30">
        <f>IF(ISBLANK(card_database!$P$30),-1,MATCH(card_database!$P$30,条件, 0) - 1)</f>
        <v>-1</v>
      </c>
      <c r="Q30">
        <f>IF(ISBLANK(card_database!$Q$30),-1,MATCH(card_database!$Q$30,条件, 0) - 1)</f>
        <v>-1</v>
      </c>
      <c r="R30">
        <f>IF(ISBLANK(card_database!$R$30),-1,card_database!$R$30)</f>
        <v>-1</v>
      </c>
      <c r="S30">
        <f>IF(ISBLANK(card_database!$S$30),-1,card_database!$S$30)</f>
        <v>-1</v>
      </c>
      <c r="T30">
        <f>IF(ISBLANK(card_database!$T$30),-1,MATCH(card_database!$T$30,効果, 0) - 1)</f>
        <v>-1</v>
      </c>
      <c r="U30">
        <f>IF(ISBLANK(card_database!$U$30),-1,card_database!$U$30)</f>
        <v>-1</v>
      </c>
      <c r="V30">
        <f>IF(ISBLANK(card_database!$V$30),-1,card_database!$V$30)</f>
        <v>-1</v>
      </c>
      <c r="W30">
        <f>IF(ISBLANK(card_database!$W$30),-1,MATCH(card_database!$W$30,条件, 0) - 1)</f>
        <v>-1</v>
      </c>
      <c r="X30">
        <f>IF(ISBLANK(card_database!$X$30),-1,card_database!$X$30)</f>
        <v>-1</v>
      </c>
      <c r="Y30">
        <f>IF(ISBLANK(card_database!$Y$30),-1,card_database!$Y$30)</f>
        <v>-1</v>
      </c>
      <c r="Z30">
        <f>IF(ISBLANK(card_database!$Z$30),-1,MATCH(card_database!$Z$30,効果, 0) - 1)</f>
        <v>-1</v>
      </c>
      <c r="AA30">
        <f>IF(ISBLANK(card_database!$AA$30),-1,card_database!$AA$30)</f>
        <v>-1</v>
      </c>
      <c r="AB30">
        <f>IF(ISBLANK(card_database!$AB$30),-1,card_database!$AB$30)</f>
        <v>-1</v>
      </c>
      <c r="AC30">
        <f>IF(ISBLANK(card_database!$AC$30),-1,MATCH(card_database!$AC$30,条件, 0) - 1)</f>
        <v>-1</v>
      </c>
      <c r="AD30">
        <f>IF(ISBLANK(card_database!$AD$30),-1,card_database!$AD$30)</f>
        <v>-1</v>
      </c>
      <c r="AE30">
        <f>IF(ISBLANK(card_database!$AE$30),-1,card_database!$AE$30)</f>
        <v>-1</v>
      </c>
      <c r="AF30">
        <f>IF(ISBLANK(card_database!$AF$30),-1,MATCH(card_database!$AF$30,効果, 0) - 1)</f>
        <v>-1</v>
      </c>
      <c r="AG30">
        <f>IF(ISBLANK(card_database!$AG$30),-1,card_database!$AG$30)</f>
        <v>-1</v>
      </c>
      <c r="AH30">
        <f>IF(ISBLANK(card_database!$AH$30),-1,card_database!$AH$30)</f>
        <v>-1</v>
      </c>
      <c r="AI30">
        <f>IF(ISBLANK(card_database!$AI$30),-1,MATCH(card_database!$AI$30,条件, 0) - 1)</f>
        <v>-1</v>
      </c>
      <c r="AJ30">
        <f>IF(ISBLANK(card_database!$AJ$30),-1,card_database!$AJ$30)</f>
        <v>-1</v>
      </c>
      <c r="AK30">
        <f>IF(ISBLANK(card_database!$AK$30),-1,card_database!$AK$30)</f>
        <v>-1</v>
      </c>
      <c r="AL30">
        <f>IF(ISBLANK(card_database!$AL$30),-1,MATCH(card_database!$AL$30,わざ, 0) - 1)</f>
        <v>-1</v>
      </c>
      <c r="AM30">
        <f>IF(ISBLANK(card_database!$AM$30),-1,card_database!$AM$30)</f>
        <v>-1</v>
      </c>
      <c r="AN30">
        <f>IF(ISBLANK(card_database!$AN$30),-1,card_database!$AN$30)</f>
        <v>-1</v>
      </c>
      <c r="AO30">
        <f>IF(ISBLANK(card_database!$AO$30),-1,MATCH(card_database!$AO$30,条件, 0) - 1)</f>
        <v>-1</v>
      </c>
      <c r="AP30">
        <f>IF(ISBLANK(card_database!$AP$30),-1,card_database!$AP$30)</f>
        <v>-1</v>
      </c>
      <c r="AQ30">
        <f>IF(ISBLANK(card_database!$AQ$30),-1,card_database!$AQ$30)</f>
        <v>-1</v>
      </c>
      <c r="AR30">
        <f>IF(ISBLANK(card_database!$AR$30),-1,MATCH(card_database!$AR$30,わざ, 0) - 1)</f>
        <v>-1</v>
      </c>
      <c r="AS30">
        <f>IF(ISBLANK(card_database!$AS$30),-1,card_database!$AS$30)</f>
        <v>-1</v>
      </c>
      <c r="AT30">
        <f>IF(ISBLANK(card_database!$AT$30),-1,card_database!$AT$30)</f>
        <v>-1</v>
      </c>
      <c r="AU30">
        <f>IF(ISBLANK(card_database!$AU$30),-1,MATCH(card_database!$AU$30,条件, 0) - 1)</f>
        <v>-1</v>
      </c>
      <c r="AV30">
        <f>IF(ISBLANK(card_database!$AV$30),-1,card_database!$AV$30)</f>
        <v>-1</v>
      </c>
      <c r="AW30">
        <f>IF(ISBLANK(card_database!$AW$30),-1,card_database!$AW$30)</f>
        <v>-1</v>
      </c>
      <c r="AX30">
        <f>IF(ISBLANK(card_database!$AX$30),-1,MATCH(card_database!$AX$30,わざ, 0) - 1)</f>
        <v>-1</v>
      </c>
      <c r="AY30">
        <f>IF(ISBLANK(card_database!$AY$30),-1,card_database!$AY$30)</f>
        <v>-1</v>
      </c>
      <c r="AZ30">
        <f>IF(ISBLANK(card_database!$AZ$30),-1,card_database!$AZ$30)</f>
        <v>-1</v>
      </c>
      <c r="BA30">
        <f>IF(ISBLANK(card_database!$BA$30),-1,MATCH(card_database!$BA$30,条件, 0) - 1)</f>
        <v>-1</v>
      </c>
      <c r="BB30">
        <f>IF(ISBLANK(card_database!$BB$30),-1,card_database!$BB$30)</f>
        <v>-1</v>
      </c>
      <c r="BC30">
        <f>IF(ISBLANK(card_database!$BC$30),-1,card_database!$BC$30)</f>
        <v>-1</v>
      </c>
      <c r="BD30">
        <f>IF(ISBLANK(card_database!$BD$30),-1,MATCH(card_database!$BD$30,わざ, 0) - 1)</f>
        <v>-1</v>
      </c>
      <c r="BE30">
        <f>IF(ISBLANK(card_database!$BE$30),-1,card_database!$BE$30)</f>
        <v>-1</v>
      </c>
      <c r="BF30">
        <f>IF(ISBLANK(card_database!$BF$30),-1,card_database!$BF$30)</f>
        <v>-1</v>
      </c>
      <c r="BG30">
        <f>IF(ISBLANK(card_database!$BG$30),-1,card_database!$BG$30)</f>
        <v>-1</v>
      </c>
      <c r="BH30">
        <f>IF(ISBLANK(card_database!$BB$30),-1,card_database!$BB$30)</f>
        <v>-1</v>
      </c>
      <c r="BI30">
        <f>IF(ISBLANK(card_database!$BC$30),-1,card_database!$BC$30)</f>
        <v>-1</v>
      </c>
      <c r="BJ30">
        <f>IF(ISBLANK(card_database!$BD$30),-1,MATCH(card_database!$BD$30,わざ, 0) - 1)</f>
        <v>-1</v>
      </c>
    </row>
    <row r="31" spans="1:62" x14ac:dyDescent="0.55000000000000004">
      <c r="A31">
        <f>IF(ISBLANK(card_database!$A$31),-1,card_database!$A$31)</f>
        <v>25</v>
      </c>
      <c r="B31" t="str">
        <f>IF(ISBLANK(card_database!$B$31),-1,card_database!$B$31)</f>
        <v>伝説の剣豪 ＭＡＳＡＫＩ</v>
      </c>
      <c r="C31" t="str">
        <f>IF(ISBLANK(card_database!$C$31),-1,card_database!$C$31)</f>
        <v>百人斬りを成しとげたといわれる、伝説の剣豪。</v>
      </c>
      <c r="D31">
        <f>IF(ISBLANK(card_database!$D$31),-1,card_database!$D$31)</f>
        <v>25</v>
      </c>
      <c r="E31">
        <f>IF(ISBLANK(card_database!$E$31),-1,MATCH(card_database!$E$31,タイプ, 0) - 1)</f>
        <v>-1</v>
      </c>
      <c r="F31">
        <f>IF(ISBLANK(card_database!$F$31),-1,MATCH(card_database!$F$31,タイプ詳細, 0) - 1)</f>
        <v>-1</v>
      </c>
      <c r="G31">
        <f>IF(ISBLANK(card_database!$G$31),-1,card_database!$G$31)</f>
        <v>-1</v>
      </c>
      <c r="H31">
        <f>IF(ISBLANK(card_database!$H$31),-1,card_database!$H$31)</f>
        <v>-1</v>
      </c>
      <c r="I31">
        <f>IF(ISBLANK(card_database!$I$31),-1,MATCH(card_database!$I$31,属性, 0) - 1)</f>
        <v>-1</v>
      </c>
      <c r="J31">
        <f>IF(ISBLANK(card_database!$J$31),-1,MATCH(card_database!$J$31,種族, 0) - 1)</f>
        <v>-1</v>
      </c>
      <c r="K31">
        <f>IF(ISBLANK(card_database!$K$31),-1,card_database!$K$31)</f>
        <v>-1</v>
      </c>
      <c r="L31">
        <f>IF(ISBLANK(card_database!$L$31),-1,card_database!$L$31)</f>
        <v>-1</v>
      </c>
      <c r="M31">
        <f>IF(ISBLANK(card_database!$M$31),-1,card_database!$M$31)</f>
        <v>-1</v>
      </c>
      <c r="N31">
        <f>IF(ISBLANK(card_database!$N$31),-1,card_database!$N$31)</f>
        <v>-1</v>
      </c>
      <c r="O31">
        <f>IF(ISBLANK(card_database!$O$31),-1,card_database!$O$31)</f>
        <v>-1</v>
      </c>
      <c r="P31">
        <f>IF(ISBLANK(card_database!$P$31),-1,MATCH(card_database!$P$31,条件, 0) - 1)</f>
        <v>-1</v>
      </c>
      <c r="Q31">
        <f>IF(ISBLANK(card_database!$Q$31),-1,MATCH(card_database!$Q$31,条件, 0) - 1)</f>
        <v>-1</v>
      </c>
      <c r="R31">
        <f>IF(ISBLANK(card_database!$R$31),-1,card_database!$R$31)</f>
        <v>-1</v>
      </c>
      <c r="S31">
        <f>IF(ISBLANK(card_database!$S$31),-1,card_database!$S$31)</f>
        <v>-1</v>
      </c>
      <c r="T31">
        <f>IF(ISBLANK(card_database!$T$31),-1,MATCH(card_database!$T$31,効果, 0) - 1)</f>
        <v>-1</v>
      </c>
      <c r="U31">
        <f>IF(ISBLANK(card_database!$U$31),-1,card_database!$U$31)</f>
        <v>-1</v>
      </c>
      <c r="V31">
        <f>IF(ISBLANK(card_database!$V$31),-1,card_database!$V$31)</f>
        <v>-1</v>
      </c>
      <c r="W31">
        <f>IF(ISBLANK(card_database!$W$31),-1,MATCH(card_database!$W$31,条件, 0) - 1)</f>
        <v>-1</v>
      </c>
      <c r="X31">
        <f>IF(ISBLANK(card_database!$X$31),-1,card_database!$X$31)</f>
        <v>-1</v>
      </c>
      <c r="Y31">
        <f>IF(ISBLANK(card_database!$Y$31),-1,card_database!$Y$31)</f>
        <v>-1</v>
      </c>
      <c r="Z31">
        <f>IF(ISBLANK(card_database!$Z$31),-1,MATCH(card_database!$Z$31,効果, 0) - 1)</f>
        <v>-1</v>
      </c>
      <c r="AA31">
        <f>IF(ISBLANK(card_database!$AA$31),-1,card_database!$AA$31)</f>
        <v>-1</v>
      </c>
      <c r="AB31">
        <f>IF(ISBLANK(card_database!$AB$31),-1,card_database!$AB$31)</f>
        <v>-1</v>
      </c>
      <c r="AC31">
        <f>IF(ISBLANK(card_database!$AC$31),-1,MATCH(card_database!$AC$31,条件, 0) - 1)</f>
        <v>-1</v>
      </c>
      <c r="AD31">
        <f>IF(ISBLANK(card_database!$AD$31),-1,card_database!$AD$31)</f>
        <v>-1</v>
      </c>
      <c r="AE31">
        <f>IF(ISBLANK(card_database!$AE$31),-1,card_database!$AE$31)</f>
        <v>-1</v>
      </c>
      <c r="AF31">
        <f>IF(ISBLANK(card_database!$AF$31),-1,MATCH(card_database!$AF$31,効果, 0) - 1)</f>
        <v>-1</v>
      </c>
      <c r="AG31">
        <f>IF(ISBLANK(card_database!$AG$31),-1,card_database!$AG$31)</f>
        <v>-1</v>
      </c>
      <c r="AH31">
        <f>IF(ISBLANK(card_database!$AH$31),-1,card_database!$AH$31)</f>
        <v>-1</v>
      </c>
      <c r="AI31">
        <f>IF(ISBLANK(card_database!$AI$31),-1,MATCH(card_database!$AI$31,条件, 0) - 1)</f>
        <v>-1</v>
      </c>
      <c r="AJ31">
        <f>IF(ISBLANK(card_database!$AJ$31),-1,card_database!$AJ$31)</f>
        <v>-1</v>
      </c>
      <c r="AK31">
        <f>IF(ISBLANK(card_database!$AK$31),-1,card_database!$AK$31)</f>
        <v>-1</v>
      </c>
      <c r="AL31">
        <f>IF(ISBLANK(card_database!$AL$31),-1,MATCH(card_database!$AL$31,わざ, 0) - 1)</f>
        <v>-1</v>
      </c>
      <c r="AM31">
        <f>IF(ISBLANK(card_database!$AM$31),-1,card_database!$AM$31)</f>
        <v>-1</v>
      </c>
      <c r="AN31">
        <f>IF(ISBLANK(card_database!$AN$31),-1,card_database!$AN$31)</f>
        <v>-1</v>
      </c>
      <c r="AO31">
        <f>IF(ISBLANK(card_database!$AO$31),-1,MATCH(card_database!$AO$31,条件, 0) - 1)</f>
        <v>-1</v>
      </c>
      <c r="AP31">
        <f>IF(ISBLANK(card_database!$AP$31),-1,card_database!$AP$31)</f>
        <v>-1</v>
      </c>
      <c r="AQ31">
        <f>IF(ISBLANK(card_database!$AQ$31),-1,card_database!$AQ$31)</f>
        <v>-1</v>
      </c>
      <c r="AR31">
        <f>IF(ISBLANK(card_database!$AR$31),-1,MATCH(card_database!$AR$31,わざ, 0) - 1)</f>
        <v>-1</v>
      </c>
      <c r="AS31">
        <f>IF(ISBLANK(card_database!$AS$31),-1,card_database!$AS$31)</f>
        <v>-1</v>
      </c>
      <c r="AT31">
        <f>IF(ISBLANK(card_database!$AT$31),-1,card_database!$AT$31)</f>
        <v>-1</v>
      </c>
      <c r="AU31">
        <f>IF(ISBLANK(card_database!$AU$31),-1,MATCH(card_database!$AU$31,条件, 0) - 1)</f>
        <v>-1</v>
      </c>
      <c r="AV31">
        <f>IF(ISBLANK(card_database!$AV$31),-1,card_database!$AV$31)</f>
        <v>-1</v>
      </c>
      <c r="AW31">
        <f>IF(ISBLANK(card_database!$AW$31),-1,card_database!$AW$31)</f>
        <v>-1</v>
      </c>
      <c r="AX31">
        <f>IF(ISBLANK(card_database!$AX$31),-1,MATCH(card_database!$AX$31,わざ, 0) - 1)</f>
        <v>-1</v>
      </c>
      <c r="AY31">
        <f>IF(ISBLANK(card_database!$AY$31),-1,card_database!$AY$31)</f>
        <v>-1</v>
      </c>
      <c r="AZ31">
        <f>IF(ISBLANK(card_database!$AZ$31),-1,card_database!$AZ$31)</f>
        <v>-1</v>
      </c>
      <c r="BA31">
        <f>IF(ISBLANK(card_database!$BA$31),-1,MATCH(card_database!$BA$31,条件, 0) - 1)</f>
        <v>-1</v>
      </c>
      <c r="BB31">
        <f>IF(ISBLANK(card_database!$BB$31),-1,card_database!$BB$31)</f>
        <v>-1</v>
      </c>
      <c r="BC31">
        <f>IF(ISBLANK(card_database!$BC$31),-1,card_database!$BC$31)</f>
        <v>-1</v>
      </c>
      <c r="BD31">
        <f>IF(ISBLANK(card_database!$BD$31),-1,MATCH(card_database!$BD$31,わざ, 0) - 1)</f>
        <v>-1</v>
      </c>
      <c r="BE31">
        <f>IF(ISBLANK(card_database!$BE$31),-1,card_database!$BE$31)</f>
        <v>-1</v>
      </c>
      <c r="BF31">
        <f>IF(ISBLANK(card_database!$BF$31),-1,card_database!$BF$31)</f>
        <v>-1</v>
      </c>
      <c r="BG31">
        <f>IF(ISBLANK(card_database!$BG$31),-1,card_database!$BG$31)</f>
        <v>-1</v>
      </c>
      <c r="BH31">
        <f>IF(ISBLANK(card_database!$BB$31),-1,card_database!$BB$31)</f>
        <v>-1</v>
      </c>
      <c r="BI31">
        <f>IF(ISBLANK(card_database!$BC$31),-1,card_database!$BC$31)</f>
        <v>-1</v>
      </c>
      <c r="BJ31">
        <f>IF(ISBLANK(card_database!$BD$31),-1,MATCH(card_database!$BD$31,わざ, 0) - 1)</f>
        <v>-1</v>
      </c>
    </row>
    <row r="32" spans="1:62" x14ac:dyDescent="0.55000000000000004">
      <c r="A32">
        <f>IF(ISBLANK(card_database!$A$32),-1,card_database!$A$32)</f>
        <v>26</v>
      </c>
      <c r="B32" t="str">
        <f>IF(ISBLANK(card_database!$B$32),-1,card_database!$B$32)</f>
        <v>時の魔人 ネクロランサ</v>
      </c>
      <c r="C32" t="str">
        <f>IF(ISBLANK(card_database!$C$32),-1,card_database!$C$32)</f>
        <v>好きな所へ行けるという時空リングから出てくる、一つ目の魔人。</v>
      </c>
      <c r="D32">
        <f>IF(ISBLANK(card_database!$D$32),-1,card_database!$D$32)</f>
        <v>26</v>
      </c>
      <c r="E32">
        <f>IF(ISBLANK(card_database!$E$32),-1,MATCH(card_database!$E$32,タイプ, 0) - 1)</f>
        <v>-1</v>
      </c>
      <c r="F32">
        <f>IF(ISBLANK(card_database!$F$32),-1,MATCH(card_database!$F$32,タイプ詳細, 0) - 1)</f>
        <v>-1</v>
      </c>
      <c r="G32">
        <f>IF(ISBLANK(card_database!$G$32),-1,card_database!$G$32)</f>
        <v>-1</v>
      </c>
      <c r="H32">
        <f>IF(ISBLANK(card_database!$H$32),-1,card_database!$H$32)</f>
        <v>-1</v>
      </c>
      <c r="I32">
        <f>IF(ISBLANK(card_database!$I$32),-1,MATCH(card_database!$I$32,属性, 0) - 1)</f>
        <v>-1</v>
      </c>
      <c r="J32">
        <f>IF(ISBLANK(card_database!$J$32),-1,MATCH(card_database!$J$32,種族, 0) - 1)</f>
        <v>-1</v>
      </c>
      <c r="K32">
        <f>IF(ISBLANK(card_database!$K$32),-1,card_database!$K$32)</f>
        <v>-1</v>
      </c>
      <c r="L32">
        <f>IF(ISBLANK(card_database!$L$32),-1,card_database!$L$32)</f>
        <v>-1</v>
      </c>
      <c r="M32">
        <f>IF(ISBLANK(card_database!$M$32),-1,card_database!$M$32)</f>
        <v>-1</v>
      </c>
      <c r="N32">
        <f>IF(ISBLANK(card_database!$N$32),-1,card_database!$N$32)</f>
        <v>-1</v>
      </c>
      <c r="O32">
        <f>IF(ISBLANK(card_database!$O$32),-1,card_database!$O$32)</f>
        <v>-1</v>
      </c>
      <c r="P32">
        <f>IF(ISBLANK(card_database!$P$32),-1,MATCH(card_database!$P$32,条件, 0) - 1)</f>
        <v>-1</v>
      </c>
      <c r="Q32">
        <f>IF(ISBLANK(card_database!$Q$32),-1,MATCH(card_database!$Q$32,条件, 0) - 1)</f>
        <v>-1</v>
      </c>
      <c r="R32">
        <f>IF(ISBLANK(card_database!$R$32),-1,card_database!$R$32)</f>
        <v>-1</v>
      </c>
      <c r="S32">
        <f>IF(ISBLANK(card_database!$S$32),-1,card_database!$S$32)</f>
        <v>-1</v>
      </c>
      <c r="T32">
        <f>IF(ISBLANK(card_database!$T$32),-1,MATCH(card_database!$T$32,効果, 0) - 1)</f>
        <v>-1</v>
      </c>
      <c r="U32">
        <f>IF(ISBLANK(card_database!$U$32),-1,card_database!$U$32)</f>
        <v>-1</v>
      </c>
      <c r="V32">
        <f>IF(ISBLANK(card_database!$V$32),-1,card_database!$V$32)</f>
        <v>-1</v>
      </c>
      <c r="W32">
        <f>IF(ISBLANK(card_database!$W$32),-1,MATCH(card_database!$W$32,条件, 0) - 1)</f>
        <v>-1</v>
      </c>
      <c r="X32">
        <f>IF(ISBLANK(card_database!$X$32),-1,card_database!$X$32)</f>
        <v>-1</v>
      </c>
      <c r="Y32">
        <f>IF(ISBLANK(card_database!$Y$32),-1,card_database!$Y$32)</f>
        <v>-1</v>
      </c>
      <c r="Z32">
        <f>IF(ISBLANK(card_database!$Z$32),-1,MATCH(card_database!$Z$32,効果, 0) - 1)</f>
        <v>-1</v>
      </c>
      <c r="AA32">
        <f>IF(ISBLANK(card_database!$AA$32),-1,card_database!$AA$32)</f>
        <v>-1</v>
      </c>
      <c r="AB32">
        <f>IF(ISBLANK(card_database!$AB$32),-1,card_database!$AB$32)</f>
        <v>-1</v>
      </c>
      <c r="AC32">
        <f>IF(ISBLANK(card_database!$AC$32),-1,MATCH(card_database!$AC$32,条件, 0) - 1)</f>
        <v>-1</v>
      </c>
      <c r="AD32">
        <f>IF(ISBLANK(card_database!$AD$32),-1,card_database!$AD$32)</f>
        <v>-1</v>
      </c>
      <c r="AE32">
        <f>IF(ISBLANK(card_database!$AE$32),-1,card_database!$AE$32)</f>
        <v>-1</v>
      </c>
      <c r="AF32">
        <f>IF(ISBLANK(card_database!$AF$32),-1,MATCH(card_database!$AF$32,効果, 0) - 1)</f>
        <v>-1</v>
      </c>
      <c r="AG32">
        <f>IF(ISBLANK(card_database!$AG$32),-1,card_database!$AG$32)</f>
        <v>-1</v>
      </c>
      <c r="AH32">
        <f>IF(ISBLANK(card_database!$AH$32),-1,card_database!$AH$32)</f>
        <v>-1</v>
      </c>
      <c r="AI32">
        <f>IF(ISBLANK(card_database!$AI$32),-1,MATCH(card_database!$AI$32,条件, 0) - 1)</f>
        <v>-1</v>
      </c>
      <c r="AJ32">
        <f>IF(ISBLANK(card_database!$AJ$32),-1,card_database!$AJ$32)</f>
        <v>-1</v>
      </c>
      <c r="AK32">
        <f>IF(ISBLANK(card_database!$AK$32),-1,card_database!$AK$32)</f>
        <v>-1</v>
      </c>
      <c r="AL32">
        <f>IF(ISBLANK(card_database!$AL$32),-1,MATCH(card_database!$AL$32,わざ, 0) - 1)</f>
        <v>-1</v>
      </c>
      <c r="AM32">
        <f>IF(ISBLANK(card_database!$AM$32),-1,card_database!$AM$32)</f>
        <v>-1</v>
      </c>
      <c r="AN32">
        <f>IF(ISBLANK(card_database!$AN$32),-1,card_database!$AN$32)</f>
        <v>-1</v>
      </c>
      <c r="AO32">
        <f>IF(ISBLANK(card_database!$AO$32),-1,MATCH(card_database!$AO$32,条件, 0) - 1)</f>
        <v>-1</v>
      </c>
      <c r="AP32">
        <f>IF(ISBLANK(card_database!$AP$32),-1,card_database!$AP$32)</f>
        <v>-1</v>
      </c>
      <c r="AQ32">
        <f>IF(ISBLANK(card_database!$AQ$32),-1,card_database!$AQ$32)</f>
        <v>-1</v>
      </c>
      <c r="AR32">
        <f>IF(ISBLANK(card_database!$AR$32),-1,MATCH(card_database!$AR$32,わざ, 0) - 1)</f>
        <v>-1</v>
      </c>
      <c r="AS32">
        <f>IF(ISBLANK(card_database!$AS$32),-1,card_database!$AS$32)</f>
        <v>-1</v>
      </c>
      <c r="AT32">
        <f>IF(ISBLANK(card_database!$AT$32),-1,card_database!$AT$32)</f>
        <v>-1</v>
      </c>
      <c r="AU32">
        <f>IF(ISBLANK(card_database!$AU$32),-1,MATCH(card_database!$AU$32,条件, 0) - 1)</f>
        <v>-1</v>
      </c>
      <c r="AV32">
        <f>IF(ISBLANK(card_database!$AV$32),-1,card_database!$AV$32)</f>
        <v>-1</v>
      </c>
      <c r="AW32">
        <f>IF(ISBLANK(card_database!$AW$32),-1,card_database!$AW$32)</f>
        <v>-1</v>
      </c>
      <c r="AX32">
        <f>IF(ISBLANK(card_database!$AX$32),-1,MATCH(card_database!$AX$32,わざ, 0) - 1)</f>
        <v>-1</v>
      </c>
      <c r="AY32">
        <f>IF(ISBLANK(card_database!$AY$32),-1,card_database!$AY$32)</f>
        <v>-1</v>
      </c>
      <c r="AZ32">
        <f>IF(ISBLANK(card_database!$AZ$32),-1,card_database!$AZ$32)</f>
        <v>-1</v>
      </c>
      <c r="BA32">
        <f>IF(ISBLANK(card_database!$BA$32),-1,MATCH(card_database!$BA$32,条件, 0) - 1)</f>
        <v>-1</v>
      </c>
      <c r="BB32">
        <f>IF(ISBLANK(card_database!$BB$32),-1,card_database!$BB$32)</f>
        <v>-1</v>
      </c>
      <c r="BC32">
        <f>IF(ISBLANK(card_database!$BC$32),-1,card_database!$BC$32)</f>
        <v>-1</v>
      </c>
      <c r="BD32">
        <f>IF(ISBLANK(card_database!$BD$32),-1,MATCH(card_database!$BD$32,わざ, 0) - 1)</f>
        <v>-1</v>
      </c>
      <c r="BE32">
        <f>IF(ISBLANK(card_database!$BE$32),-1,card_database!$BE$32)</f>
        <v>-1</v>
      </c>
      <c r="BF32">
        <f>IF(ISBLANK(card_database!$BF$32),-1,card_database!$BF$32)</f>
        <v>-1</v>
      </c>
      <c r="BG32">
        <f>IF(ISBLANK(card_database!$BG$32),-1,card_database!$BG$32)</f>
        <v>-1</v>
      </c>
      <c r="BH32">
        <f>IF(ISBLANK(card_database!$BB$32),-1,card_database!$BB$32)</f>
        <v>-1</v>
      </c>
      <c r="BI32">
        <f>IF(ISBLANK(card_database!$BC$32),-1,card_database!$BC$32)</f>
        <v>-1</v>
      </c>
      <c r="BJ32">
        <f>IF(ISBLANK(card_database!$BD$32),-1,MATCH(card_database!$BD$32,わざ, 0) - 1)</f>
        <v>-1</v>
      </c>
    </row>
    <row r="33" spans="1:62" x14ac:dyDescent="0.55000000000000004">
      <c r="A33">
        <f>IF(ISBLANK(card_database!$A$33),-1,card_database!$A$33)</f>
        <v>27</v>
      </c>
      <c r="B33" t="str">
        <f>IF(ISBLANK(card_database!$B$33),-1,card_database!$B$33)</f>
        <v>なぞの手</v>
      </c>
      <c r="C33" t="str">
        <f>IF(ISBLANK(card_database!$C$33),-1,card_database!$C$33)</f>
        <v>空間をゆがませ、次元のはざまから腕をのばし攻撃をしかける。</v>
      </c>
      <c r="D33">
        <f>IF(ISBLANK(card_database!$D$33),-1,card_database!$D$33)</f>
        <v>27</v>
      </c>
      <c r="E33">
        <f>IF(ISBLANK(card_database!$E$33),-1,MATCH(card_database!$E$33,タイプ, 0) - 1)</f>
        <v>-1</v>
      </c>
      <c r="F33">
        <f>IF(ISBLANK(card_database!$F$33),-1,MATCH(card_database!$F$33,タイプ詳細, 0) - 1)</f>
        <v>-1</v>
      </c>
      <c r="G33">
        <f>IF(ISBLANK(card_database!$G$33),-1,card_database!$G$33)</f>
        <v>-1</v>
      </c>
      <c r="H33">
        <f>IF(ISBLANK(card_database!$H$33),-1,card_database!$H$33)</f>
        <v>-1</v>
      </c>
      <c r="I33">
        <f>IF(ISBLANK(card_database!$I$33),-1,MATCH(card_database!$I$33,属性, 0) - 1)</f>
        <v>-1</v>
      </c>
      <c r="J33">
        <f>IF(ISBLANK(card_database!$J$33),-1,MATCH(card_database!$J$33,種族, 0) - 1)</f>
        <v>-1</v>
      </c>
      <c r="K33">
        <f>IF(ISBLANK(card_database!$K$33),-1,card_database!$K$33)</f>
        <v>-1</v>
      </c>
      <c r="L33">
        <f>IF(ISBLANK(card_database!$L$33),-1,card_database!$L$33)</f>
        <v>-1</v>
      </c>
      <c r="M33">
        <f>IF(ISBLANK(card_database!$M$33),-1,card_database!$M$33)</f>
        <v>-1</v>
      </c>
      <c r="N33">
        <f>IF(ISBLANK(card_database!$N$33),-1,card_database!$N$33)</f>
        <v>-1</v>
      </c>
      <c r="O33">
        <f>IF(ISBLANK(card_database!$O$33),-1,card_database!$O$33)</f>
        <v>-1</v>
      </c>
      <c r="P33">
        <f>IF(ISBLANK(card_database!$P$33),-1,MATCH(card_database!$P$33,条件, 0) - 1)</f>
        <v>-1</v>
      </c>
      <c r="Q33">
        <f>IF(ISBLANK(card_database!$Q$33),-1,MATCH(card_database!$Q$33,条件, 0) - 1)</f>
        <v>-1</v>
      </c>
      <c r="R33">
        <f>IF(ISBLANK(card_database!$R$33),-1,card_database!$R$33)</f>
        <v>-1</v>
      </c>
      <c r="S33">
        <f>IF(ISBLANK(card_database!$S$33),-1,card_database!$S$33)</f>
        <v>-1</v>
      </c>
      <c r="T33">
        <f>IF(ISBLANK(card_database!$T$33),-1,MATCH(card_database!$T$33,効果, 0) - 1)</f>
        <v>-1</v>
      </c>
      <c r="U33">
        <f>IF(ISBLANK(card_database!$U$33),-1,card_database!$U$33)</f>
        <v>-1</v>
      </c>
      <c r="V33">
        <f>IF(ISBLANK(card_database!$V$33),-1,card_database!$V$33)</f>
        <v>-1</v>
      </c>
      <c r="W33">
        <f>IF(ISBLANK(card_database!$W$33),-1,MATCH(card_database!$W$33,条件, 0) - 1)</f>
        <v>-1</v>
      </c>
      <c r="X33">
        <f>IF(ISBLANK(card_database!$X$33),-1,card_database!$X$33)</f>
        <v>-1</v>
      </c>
      <c r="Y33">
        <f>IF(ISBLANK(card_database!$Y$33),-1,card_database!$Y$33)</f>
        <v>-1</v>
      </c>
      <c r="Z33">
        <f>IF(ISBLANK(card_database!$Z$33),-1,MATCH(card_database!$Z$33,効果, 0) - 1)</f>
        <v>-1</v>
      </c>
      <c r="AA33">
        <f>IF(ISBLANK(card_database!$AA$33),-1,card_database!$AA$33)</f>
        <v>-1</v>
      </c>
      <c r="AB33">
        <f>IF(ISBLANK(card_database!$AB$33),-1,card_database!$AB$33)</f>
        <v>-1</v>
      </c>
      <c r="AC33">
        <f>IF(ISBLANK(card_database!$AC$33),-1,MATCH(card_database!$AC$33,条件, 0) - 1)</f>
        <v>-1</v>
      </c>
      <c r="AD33">
        <f>IF(ISBLANK(card_database!$AD$33),-1,card_database!$AD$33)</f>
        <v>-1</v>
      </c>
      <c r="AE33">
        <f>IF(ISBLANK(card_database!$AE$33),-1,card_database!$AE$33)</f>
        <v>-1</v>
      </c>
      <c r="AF33">
        <f>IF(ISBLANK(card_database!$AF$33),-1,MATCH(card_database!$AF$33,効果, 0) - 1)</f>
        <v>-1</v>
      </c>
      <c r="AG33">
        <f>IF(ISBLANK(card_database!$AG$33),-1,card_database!$AG$33)</f>
        <v>-1</v>
      </c>
      <c r="AH33">
        <f>IF(ISBLANK(card_database!$AH$33),-1,card_database!$AH$33)</f>
        <v>-1</v>
      </c>
      <c r="AI33">
        <f>IF(ISBLANK(card_database!$AI$33),-1,MATCH(card_database!$AI$33,条件, 0) - 1)</f>
        <v>-1</v>
      </c>
      <c r="AJ33">
        <f>IF(ISBLANK(card_database!$AJ$33),-1,card_database!$AJ$33)</f>
        <v>-1</v>
      </c>
      <c r="AK33">
        <f>IF(ISBLANK(card_database!$AK$33),-1,card_database!$AK$33)</f>
        <v>-1</v>
      </c>
      <c r="AL33">
        <f>IF(ISBLANK(card_database!$AL$33),-1,MATCH(card_database!$AL$33,わざ, 0) - 1)</f>
        <v>-1</v>
      </c>
      <c r="AM33">
        <f>IF(ISBLANK(card_database!$AM$33),-1,card_database!$AM$33)</f>
        <v>-1</v>
      </c>
      <c r="AN33">
        <f>IF(ISBLANK(card_database!$AN$33),-1,card_database!$AN$33)</f>
        <v>-1</v>
      </c>
      <c r="AO33">
        <f>IF(ISBLANK(card_database!$AO$33),-1,MATCH(card_database!$AO$33,条件, 0) - 1)</f>
        <v>-1</v>
      </c>
      <c r="AP33">
        <f>IF(ISBLANK(card_database!$AP$33),-1,card_database!$AP$33)</f>
        <v>-1</v>
      </c>
      <c r="AQ33">
        <f>IF(ISBLANK(card_database!$AQ$33),-1,card_database!$AQ$33)</f>
        <v>-1</v>
      </c>
      <c r="AR33">
        <f>IF(ISBLANK(card_database!$AR$33),-1,MATCH(card_database!$AR$33,わざ, 0) - 1)</f>
        <v>-1</v>
      </c>
      <c r="AS33">
        <f>IF(ISBLANK(card_database!$AS$33),-1,card_database!$AS$33)</f>
        <v>-1</v>
      </c>
      <c r="AT33">
        <f>IF(ISBLANK(card_database!$AT$33),-1,card_database!$AT$33)</f>
        <v>-1</v>
      </c>
      <c r="AU33">
        <f>IF(ISBLANK(card_database!$AU$33),-1,MATCH(card_database!$AU$33,条件, 0) - 1)</f>
        <v>-1</v>
      </c>
      <c r="AV33">
        <f>IF(ISBLANK(card_database!$AV$33),-1,card_database!$AV$33)</f>
        <v>-1</v>
      </c>
      <c r="AW33">
        <f>IF(ISBLANK(card_database!$AW$33),-1,card_database!$AW$33)</f>
        <v>-1</v>
      </c>
      <c r="AX33">
        <f>IF(ISBLANK(card_database!$AX$33),-1,MATCH(card_database!$AX$33,わざ, 0) - 1)</f>
        <v>-1</v>
      </c>
      <c r="AY33">
        <f>IF(ISBLANK(card_database!$AY$33),-1,card_database!$AY$33)</f>
        <v>-1</v>
      </c>
      <c r="AZ33">
        <f>IF(ISBLANK(card_database!$AZ$33),-1,card_database!$AZ$33)</f>
        <v>-1</v>
      </c>
      <c r="BA33">
        <f>IF(ISBLANK(card_database!$BA$33),-1,MATCH(card_database!$BA$33,条件, 0) - 1)</f>
        <v>-1</v>
      </c>
      <c r="BB33">
        <f>IF(ISBLANK(card_database!$BB$33),-1,card_database!$BB$33)</f>
        <v>-1</v>
      </c>
      <c r="BC33">
        <f>IF(ISBLANK(card_database!$BC$33),-1,card_database!$BC$33)</f>
        <v>-1</v>
      </c>
      <c r="BD33">
        <f>IF(ISBLANK(card_database!$BD$33),-1,MATCH(card_database!$BD$33,わざ, 0) - 1)</f>
        <v>-1</v>
      </c>
      <c r="BE33">
        <f>IF(ISBLANK(card_database!$BE$33),-1,card_database!$BE$33)</f>
        <v>-1</v>
      </c>
      <c r="BF33">
        <f>IF(ISBLANK(card_database!$BF$33),-1,card_database!$BF$33)</f>
        <v>-1</v>
      </c>
      <c r="BG33">
        <f>IF(ISBLANK(card_database!$BG$33),-1,card_database!$BG$33)</f>
        <v>-1</v>
      </c>
      <c r="BH33">
        <f>IF(ISBLANK(card_database!$BB$33),-1,card_database!$BB$33)</f>
        <v>-1</v>
      </c>
      <c r="BI33">
        <f>IF(ISBLANK(card_database!$BC$33),-1,card_database!$BC$33)</f>
        <v>-1</v>
      </c>
      <c r="BJ33">
        <f>IF(ISBLANK(card_database!$BD$33),-1,MATCH(card_database!$BD$33,わざ, 0) - 1)</f>
        <v>-1</v>
      </c>
    </row>
    <row r="34" spans="1:62" x14ac:dyDescent="0.55000000000000004">
      <c r="A34">
        <f>IF(ISBLANK(card_database!$A$34),-1,card_database!$A$34)</f>
        <v>28</v>
      </c>
      <c r="B34" t="str">
        <f>IF(ISBLANK(card_database!$B$34),-1,card_database!$B$34)</f>
        <v>昆虫人間</v>
      </c>
      <c r="C34" t="str">
        <f>IF(ISBLANK(card_database!$C$34),-1,card_database!$C$34)</f>
        <v>群をなして暮らす昆虫。森の中は彼らの楽園だ。</v>
      </c>
      <c r="D34">
        <f>IF(ISBLANK(card_database!$D$34),-1,card_database!$D$34)</f>
        <v>28</v>
      </c>
      <c r="E34">
        <f>IF(ISBLANK(card_database!$E$34),-1,MATCH(card_database!$E$34,タイプ, 0) - 1)</f>
        <v>-1</v>
      </c>
      <c r="F34">
        <f>IF(ISBLANK(card_database!$F$34),-1,MATCH(card_database!$F$34,タイプ詳細, 0) - 1)</f>
        <v>-1</v>
      </c>
      <c r="G34">
        <f>IF(ISBLANK(card_database!$G$34),-1,card_database!$G$34)</f>
        <v>-1</v>
      </c>
      <c r="H34">
        <f>IF(ISBLANK(card_database!$H$34),-1,card_database!$H$34)</f>
        <v>-1</v>
      </c>
      <c r="I34">
        <f>IF(ISBLANK(card_database!$I$34),-1,MATCH(card_database!$I$34,属性, 0) - 1)</f>
        <v>-1</v>
      </c>
      <c r="J34">
        <f>IF(ISBLANK(card_database!$J$34),-1,MATCH(card_database!$J$34,種族, 0) - 1)</f>
        <v>-1</v>
      </c>
      <c r="K34">
        <f>IF(ISBLANK(card_database!$K$34),-1,card_database!$K$34)</f>
        <v>-1</v>
      </c>
      <c r="L34">
        <f>IF(ISBLANK(card_database!$L$34),-1,card_database!$L$34)</f>
        <v>-1</v>
      </c>
      <c r="M34">
        <f>IF(ISBLANK(card_database!$M$34),-1,card_database!$M$34)</f>
        <v>-1</v>
      </c>
      <c r="N34">
        <f>IF(ISBLANK(card_database!$N$34),-1,card_database!$N$34)</f>
        <v>-1</v>
      </c>
      <c r="O34">
        <f>IF(ISBLANK(card_database!$O$34),-1,card_database!$O$34)</f>
        <v>-1</v>
      </c>
      <c r="P34">
        <f>IF(ISBLANK(card_database!$P$34),-1,MATCH(card_database!$P$34,条件, 0) - 1)</f>
        <v>-1</v>
      </c>
      <c r="Q34">
        <f>IF(ISBLANK(card_database!$Q$34),-1,MATCH(card_database!$Q$34,条件, 0) - 1)</f>
        <v>-1</v>
      </c>
      <c r="R34">
        <f>IF(ISBLANK(card_database!$R$34),-1,card_database!$R$34)</f>
        <v>-1</v>
      </c>
      <c r="S34">
        <f>IF(ISBLANK(card_database!$S$34),-1,card_database!$S$34)</f>
        <v>-1</v>
      </c>
      <c r="T34">
        <f>IF(ISBLANK(card_database!$T$34),-1,MATCH(card_database!$T$34,効果, 0) - 1)</f>
        <v>-1</v>
      </c>
      <c r="U34">
        <f>IF(ISBLANK(card_database!$U$34),-1,card_database!$U$34)</f>
        <v>-1</v>
      </c>
      <c r="V34">
        <f>IF(ISBLANK(card_database!$V$34),-1,card_database!$V$34)</f>
        <v>-1</v>
      </c>
      <c r="W34">
        <f>IF(ISBLANK(card_database!$W$34),-1,MATCH(card_database!$W$34,条件, 0) - 1)</f>
        <v>-1</v>
      </c>
      <c r="X34">
        <f>IF(ISBLANK(card_database!$X$34),-1,card_database!$X$34)</f>
        <v>-1</v>
      </c>
      <c r="Y34">
        <f>IF(ISBLANK(card_database!$Y$34),-1,card_database!$Y$34)</f>
        <v>-1</v>
      </c>
      <c r="Z34">
        <f>IF(ISBLANK(card_database!$Z$34),-1,MATCH(card_database!$Z$34,効果, 0) - 1)</f>
        <v>-1</v>
      </c>
      <c r="AA34">
        <f>IF(ISBLANK(card_database!$AA$34),-1,card_database!$AA$34)</f>
        <v>-1</v>
      </c>
      <c r="AB34">
        <f>IF(ISBLANK(card_database!$AB$34),-1,card_database!$AB$34)</f>
        <v>-1</v>
      </c>
      <c r="AC34">
        <f>IF(ISBLANK(card_database!$AC$34),-1,MATCH(card_database!$AC$34,条件, 0) - 1)</f>
        <v>-1</v>
      </c>
      <c r="AD34">
        <f>IF(ISBLANK(card_database!$AD$34),-1,card_database!$AD$34)</f>
        <v>-1</v>
      </c>
      <c r="AE34">
        <f>IF(ISBLANK(card_database!$AE$34),-1,card_database!$AE$34)</f>
        <v>-1</v>
      </c>
      <c r="AF34">
        <f>IF(ISBLANK(card_database!$AF$34),-1,MATCH(card_database!$AF$34,効果, 0) - 1)</f>
        <v>-1</v>
      </c>
      <c r="AG34">
        <f>IF(ISBLANK(card_database!$AG$34),-1,card_database!$AG$34)</f>
        <v>-1</v>
      </c>
      <c r="AH34">
        <f>IF(ISBLANK(card_database!$AH$34),-1,card_database!$AH$34)</f>
        <v>-1</v>
      </c>
      <c r="AI34">
        <f>IF(ISBLANK(card_database!$AI$34),-1,MATCH(card_database!$AI$34,条件, 0) - 1)</f>
        <v>-1</v>
      </c>
      <c r="AJ34">
        <f>IF(ISBLANK(card_database!$AJ$34),-1,card_database!$AJ$34)</f>
        <v>-1</v>
      </c>
      <c r="AK34">
        <f>IF(ISBLANK(card_database!$AK$34),-1,card_database!$AK$34)</f>
        <v>-1</v>
      </c>
      <c r="AL34">
        <f>IF(ISBLANK(card_database!$AL$34),-1,MATCH(card_database!$AL$34,わざ, 0) - 1)</f>
        <v>-1</v>
      </c>
      <c r="AM34">
        <f>IF(ISBLANK(card_database!$AM$34),-1,card_database!$AM$34)</f>
        <v>-1</v>
      </c>
      <c r="AN34">
        <f>IF(ISBLANK(card_database!$AN$34),-1,card_database!$AN$34)</f>
        <v>-1</v>
      </c>
      <c r="AO34">
        <f>IF(ISBLANK(card_database!$AO$34),-1,MATCH(card_database!$AO$34,条件, 0) - 1)</f>
        <v>-1</v>
      </c>
      <c r="AP34">
        <f>IF(ISBLANK(card_database!$AP$34),-1,card_database!$AP$34)</f>
        <v>-1</v>
      </c>
      <c r="AQ34">
        <f>IF(ISBLANK(card_database!$AQ$34),-1,card_database!$AQ$34)</f>
        <v>-1</v>
      </c>
      <c r="AR34">
        <f>IF(ISBLANK(card_database!$AR$34),-1,MATCH(card_database!$AR$34,わざ, 0) - 1)</f>
        <v>-1</v>
      </c>
      <c r="AS34">
        <f>IF(ISBLANK(card_database!$AS$34),-1,card_database!$AS$34)</f>
        <v>-1</v>
      </c>
      <c r="AT34">
        <f>IF(ISBLANK(card_database!$AT$34),-1,card_database!$AT$34)</f>
        <v>-1</v>
      </c>
      <c r="AU34">
        <f>IF(ISBLANK(card_database!$AU$34),-1,MATCH(card_database!$AU$34,条件, 0) - 1)</f>
        <v>-1</v>
      </c>
      <c r="AV34">
        <f>IF(ISBLANK(card_database!$AV$34),-1,card_database!$AV$34)</f>
        <v>-1</v>
      </c>
      <c r="AW34">
        <f>IF(ISBLANK(card_database!$AW$34),-1,card_database!$AW$34)</f>
        <v>-1</v>
      </c>
      <c r="AX34">
        <f>IF(ISBLANK(card_database!$AX$34),-1,MATCH(card_database!$AX$34,わざ, 0) - 1)</f>
        <v>-1</v>
      </c>
      <c r="AY34">
        <f>IF(ISBLANK(card_database!$AY$34),-1,card_database!$AY$34)</f>
        <v>-1</v>
      </c>
      <c r="AZ34">
        <f>IF(ISBLANK(card_database!$AZ$34),-1,card_database!$AZ$34)</f>
        <v>-1</v>
      </c>
      <c r="BA34">
        <f>IF(ISBLANK(card_database!$BA$34),-1,MATCH(card_database!$BA$34,条件, 0) - 1)</f>
        <v>-1</v>
      </c>
      <c r="BB34">
        <f>IF(ISBLANK(card_database!$BB$34),-1,card_database!$BB$34)</f>
        <v>-1</v>
      </c>
      <c r="BC34">
        <f>IF(ISBLANK(card_database!$BC$34),-1,card_database!$BC$34)</f>
        <v>-1</v>
      </c>
      <c r="BD34">
        <f>IF(ISBLANK(card_database!$BD$34),-1,MATCH(card_database!$BD$34,わざ, 0) - 1)</f>
        <v>-1</v>
      </c>
      <c r="BE34">
        <f>IF(ISBLANK(card_database!$BE$34),-1,card_database!$BE$34)</f>
        <v>-1</v>
      </c>
      <c r="BF34">
        <f>IF(ISBLANK(card_database!$BF$34),-1,card_database!$BF$34)</f>
        <v>-1</v>
      </c>
      <c r="BG34">
        <f>IF(ISBLANK(card_database!$BG$34),-1,card_database!$BG$34)</f>
        <v>-1</v>
      </c>
      <c r="BH34">
        <f>IF(ISBLANK(card_database!$BB$34),-1,card_database!$BB$34)</f>
        <v>-1</v>
      </c>
      <c r="BI34">
        <f>IF(ISBLANK(card_database!$BC$34),-1,card_database!$BC$34)</f>
        <v>-1</v>
      </c>
      <c r="BJ34">
        <f>IF(ISBLANK(card_database!$BD$34),-1,MATCH(card_database!$BD$34,わざ, 0) - 1)</f>
        <v>-1</v>
      </c>
    </row>
    <row r="35" spans="1:62" x14ac:dyDescent="0.55000000000000004">
      <c r="A35">
        <f>IF(ISBLANK(card_database!$A$35),-1,card_database!$A$35)</f>
        <v>29</v>
      </c>
      <c r="B35" t="str">
        <f>IF(ISBLANK(card_database!$B$35),-1,card_database!$B$35)</f>
        <v>ヘルバウンド</v>
      </c>
      <c r="C35" t="str">
        <f>IF(ISBLANK(card_database!$C$35),-1,card_database!$C$35)</f>
        <v>荒野に現れるけものの亡霊。数が集まるとやっかいなカード。</v>
      </c>
      <c r="D35">
        <f>IF(ISBLANK(card_database!$D$35),-1,card_database!$D$35)</f>
        <v>29</v>
      </c>
      <c r="E35">
        <f>IF(ISBLANK(card_database!$E$35),-1,MATCH(card_database!$E$35,タイプ, 0) - 1)</f>
        <v>-1</v>
      </c>
      <c r="F35">
        <f>IF(ISBLANK(card_database!$F$35),-1,MATCH(card_database!$F$35,タイプ詳細, 0) - 1)</f>
        <v>-1</v>
      </c>
      <c r="G35">
        <f>IF(ISBLANK(card_database!$G$35),-1,card_database!$G$35)</f>
        <v>-1</v>
      </c>
      <c r="H35">
        <f>IF(ISBLANK(card_database!$H$35),-1,card_database!$H$35)</f>
        <v>-1</v>
      </c>
      <c r="I35">
        <f>IF(ISBLANK(card_database!$I$35),-1,MATCH(card_database!$I$35,属性, 0) - 1)</f>
        <v>-1</v>
      </c>
      <c r="J35">
        <f>IF(ISBLANK(card_database!$J$35),-1,MATCH(card_database!$J$35,種族, 0) - 1)</f>
        <v>-1</v>
      </c>
      <c r="K35">
        <f>IF(ISBLANK(card_database!$K$35),-1,card_database!$K$35)</f>
        <v>-1</v>
      </c>
      <c r="L35">
        <f>IF(ISBLANK(card_database!$L$35),-1,card_database!$L$35)</f>
        <v>-1</v>
      </c>
      <c r="M35">
        <f>IF(ISBLANK(card_database!$M$35),-1,card_database!$M$35)</f>
        <v>-1</v>
      </c>
      <c r="N35">
        <f>IF(ISBLANK(card_database!$N$35),-1,card_database!$N$35)</f>
        <v>-1</v>
      </c>
      <c r="O35">
        <f>IF(ISBLANK(card_database!$O$35),-1,card_database!$O$35)</f>
        <v>-1</v>
      </c>
      <c r="P35">
        <f>IF(ISBLANK(card_database!$P$35),-1,MATCH(card_database!$P$35,条件, 0) - 1)</f>
        <v>-1</v>
      </c>
      <c r="Q35">
        <f>IF(ISBLANK(card_database!$Q$35),-1,MATCH(card_database!$Q$35,条件, 0) - 1)</f>
        <v>-1</v>
      </c>
      <c r="R35">
        <f>IF(ISBLANK(card_database!$R$35),-1,card_database!$R$35)</f>
        <v>-1</v>
      </c>
      <c r="S35">
        <f>IF(ISBLANK(card_database!$S$35),-1,card_database!$S$35)</f>
        <v>-1</v>
      </c>
      <c r="T35">
        <f>IF(ISBLANK(card_database!$T$35),-1,MATCH(card_database!$T$35,効果, 0) - 1)</f>
        <v>-1</v>
      </c>
      <c r="U35">
        <f>IF(ISBLANK(card_database!$U$35),-1,card_database!$U$35)</f>
        <v>-1</v>
      </c>
      <c r="V35">
        <f>IF(ISBLANK(card_database!$V$35),-1,card_database!$V$35)</f>
        <v>-1</v>
      </c>
      <c r="W35">
        <f>IF(ISBLANK(card_database!$W$35),-1,MATCH(card_database!$W$35,条件, 0) - 1)</f>
        <v>-1</v>
      </c>
      <c r="X35">
        <f>IF(ISBLANK(card_database!$X$35),-1,card_database!$X$35)</f>
        <v>-1</v>
      </c>
      <c r="Y35">
        <f>IF(ISBLANK(card_database!$Y$35),-1,card_database!$Y$35)</f>
        <v>-1</v>
      </c>
      <c r="Z35">
        <f>IF(ISBLANK(card_database!$Z$35),-1,MATCH(card_database!$Z$35,効果, 0) - 1)</f>
        <v>-1</v>
      </c>
      <c r="AA35">
        <f>IF(ISBLANK(card_database!$AA$35),-1,card_database!$AA$35)</f>
        <v>-1</v>
      </c>
      <c r="AB35">
        <f>IF(ISBLANK(card_database!$AB$35),-1,card_database!$AB$35)</f>
        <v>-1</v>
      </c>
      <c r="AC35">
        <f>IF(ISBLANK(card_database!$AC$35),-1,MATCH(card_database!$AC$35,条件, 0) - 1)</f>
        <v>-1</v>
      </c>
      <c r="AD35">
        <f>IF(ISBLANK(card_database!$AD$35),-1,card_database!$AD$35)</f>
        <v>-1</v>
      </c>
      <c r="AE35">
        <f>IF(ISBLANK(card_database!$AE$35),-1,card_database!$AE$35)</f>
        <v>-1</v>
      </c>
      <c r="AF35">
        <f>IF(ISBLANK(card_database!$AF$35),-1,MATCH(card_database!$AF$35,効果, 0) - 1)</f>
        <v>-1</v>
      </c>
      <c r="AG35">
        <f>IF(ISBLANK(card_database!$AG$35),-1,card_database!$AG$35)</f>
        <v>-1</v>
      </c>
      <c r="AH35">
        <f>IF(ISBLANK(card_database!$AH$35),-1,card_database!$AH$35)</f>
        <v>-1</v>
      </c>
      <c r="AI35">
        <f>IF(ISBLANK(card_database!$AI$35),-1,MATCH(card_database!$AI$35,条件, 0) - 1)</f>
        <v>-1</v>
      </c>
      <c r="AJ35">
        <f>IF(ISBLANK(card_database!$AJ$35),-1,card_database!$AJ$35)</f>
        <v>-1</v>
      </c>
      <c r="AK35">
        <f>IF(ISBLANK(card_database!$AK$35),-1,card_database!$AK$35)</f>
        <v>-1</v>
      </c>
      <c r="AL35">
        <f>IF(ISBLANK(card_database!$AL$35),-1,MATCH(card_database!$AL$35,わざ, 0) - 1)</f>
        <v>-1</v>
      </c>
      <c r="AM35">
        <f>IF(ISBLANK(card_database!$AM$35),-1,card_database!$AM$35)</f>
        <v>-1</v>
      </c>
      <c r="AN35">
        <f>IF(ISBLANK(card_database!$AN$35),-1,card_database!$AN$35)</f>
        <v>-1</v>
      </c>
      <c r="AO35">
        <f>IF(ISBLANK(card_database!$AO$35),-1,MATCH(card_database!$AO$35,条件, 0) - 1)</f>
        <v>-1</v>
      </c>
      <c r="AP35">
        <f>IF(ISBLANK(card_database!$AP$35),-1,card_database!$AP$35)</f>
        <v>-1</v>
      </c>
      <c r="AQ35">
        <f>IF(ISBLANK(card_database!$AQ$35),-1,card_database!$AQ$35)</f>
        <v>-1</v>
      </c>
      <c r="AR35">
        <f>IF(ISBLANK(card_database!$AR$35),-1,MATCH(card_database!$AR$35,わざ, 0) - 1)</f>
        <v>-1</v>
      </c>
      <c r="AS35">
        <f>IF(ISBLANK(card_database!$AS$35),-1,card_database!$AS$35)</f>
        <v>-1</v>
      </c>
      <c r="AT35">
        <f>IF(ISBLANK(card_database!$AT$35),-1,card_database!$AT$35)</f>
        <v>-1</v>
      </c>
      <c r="AU35">
        <f>IF(ISBLANK(card_database!$AU$35),-1,MATCH(card_database!$AU$35,条件, 0) - 1)</f>
        <v>-1</v>
      </c>
      <c r="AV35">
        <f>IF(ISBLANK(card_database!$AV$35),-1,card_database!$AV$35)</f>
        <v>-1</v>
      </c>
      <c r="AW35">
        <f>IF(ISBLANK(card_database!$AW$35),-1,card_database!$AW$35)</f>
        <v>-1</v>
      </c>
      <c r="AX35">
        <f>IF(ISBLANK(card_database!$AX$35),-1,MATCH(card_database!$AX$35,わざ, 0) - 1)</f>
        <v>-1</v>
      </c>
      <c r="AY35">
        <f>IF(ISBLANK(card_database!$AY$35),-1,card_database!$AY$35)</f>
        <v>-1</v>
      </c>
      <c r="AZ35">
        <f>IF(ISBLANK(card_database!$AZ$35),-1,card_database!$AZ$35)</f>
        <v>-1</v>
      </c>
      <c r="BA35">
        <f>IF(ISBLANK(card_database!$BA$35),-1,MATCH(card_database!$BA$35,条件, 0) - 1)</f>
        <v>-1</v>
      </c>
      <c r="BB35">
        <f>IF(ISBLANK(card_database!$BB$35),-1,card_database!$BB$35)</f>
        <v>-1</v>
      </c>
      <c r="BC35">
        <f>IF(ISBLANK(card_database!$BC$35),-1,card_database!$BC$35)</f>
        <v>-1</v>
      </c>
      <c r="BD35">
        <f>IF(ISBLANK(card_database!$BD$35),-1,MATCH(card_database!$BD$35,わざ, 0) - 1)</f>
        <v>-1</v>
      </c>
      <c r="BE35">
        <f>IF(ISBLANK(card_database!$BE$35),-1,card_database!$BE$35)</f>
        <v>-1</v>
      </c>
      <c r="BF35">
        <f>IF(ISBLANK(card_database!$BF$35),-1,card_database!$BF$35)</f>
        <v>-1</v>
      </c>
      <c r="BG35">
        <f>IF(ISBLANK(card_database!$BG$35),-1,card_database!$BG$35)</f>
        <v>-1</v>
      </c>
      <c r="BH35">
        <f>IF(ISBLANK(card_database!$BB$35),-1,card_database!$BB$35)</f>
        <v>-1</v>
      </c>
      <c r="BI35">
        <f>IF(ISBLANK(card_database!$BC$35),-1,card_database!$BC$35)</f>
        <v>-1</v>
      </c>
      <c r="BJ35">
        <f>IF(ISBLANK(card_database!$BD$35),-1,MATCH(card_database!$BD$35,わざ, 0) - 1)</f>
        <v>-1</v>
      </c>
    </row>
    <row r="36" spans="1:62" x14ac:dyDescent="0.55000000000000004">
      <c r="A36">
        <f>IF(ISBLANK(card_database!$A$36),-1,card_database!$A$36)</f>
        <v>30</v>
      </c>
      <c r="B36" t="str">
        <f>IF(ISBLANK(card_database!$B$36),-1,card_database!$B$36)</f>
        <v>炎を操る者</v>
      </c>
      <c r="C36" t="str">
        <f>IF(ISBLANK(card_database!$C$36),-1,card_database!$C$36)</f>
        <v>炎の海や炎の壁を自在につくり出し攻撃する。</v>
      </c>
      <c r="D36">
        <f>IF(ISBLANK(card_database!$D$36),-1,card_database!$D$36)</f>
        <v>30</v>
      </c>
      <c r="E36">
        <f>IF(ISBLANK(card_database!$E$36),-1,MATCH(card_database!$E$36,タイプ, 0) - 1)</f>
        <v>-1</v>
      </c>
      <c r="F36">
        <f>IF(ISBLANK(card_database!$F$36),-1,MATCH(card_database!$F$36,タイプ詳細, 0) - 1)</f>
        <v>-1</v>
      </c>
      <c r="G36">
        <f>IF(ISBLANK(card_database!$G$36),-1,card_database!$G$36)</f>
        <v>-1</v>
      </c>
      <c r="H36">
        <f>IF(ISBLANK(card_database!$H$36),-1,card_database!$H$36)</f>
        <v>-1</v>
      </c>
      <c r="I36">
        <f>IF(ISBLANK(card_database!$I$36),-1,MATCH(card_database!$I$36,属性, 0) - 1)</f>
        <v>-1</v>
      </c>
      <c r="J36">
        <f>IF(ISBLANK(card_database!$J$36),-1,MATCH(card_database!$J$36,種族, 0) - 1)</f>
        <v>-1</v>
      </c>
      <c r="K36">
        <f>IF(ISBLANK(card_database!$K$36),-1,card_database!$K$36)</f>
        <v>-1</v>
      </c>
      <c r="L36">
        <f>IF(ISBLANK(card_database!$L$36),-1,card_database!$L$36)</f>
        <v>-1</v>
      </c>
      <c r="M36">
        <f>IF(ISBLANK(card_database!$M$36),-1,card_database!$M$36)</f>
        <v>-1</v>
      </c>
      <c r="N36">
        <f>IF(ISBLANK(card_database!$N$36),-1,card_database!$N$36)</f>
        <v>-1</v>
      </c>
      <c r="O36">
        <f>IF(ISBLANK(card_database!$O$36),-1,card_database!$O$36)</f>
        <v>-1</v>
      </c>
      <c r="P36">
        <f>IF(ISBLANK(card_database!$P$36),-1,MATCH(card_database!$P$36,条件, 0) - 1)</f>
        <v>-1</v>
      </c>
      <c r="Q36">
        <f>IF(ISBLANK(card_database!$Q$36),-1,MATCH(card_database!$Q$36,条件, 0) - 1)</f>
        <v>-1</v>
      </c>
      <c r="R36">
        <f>IF(ISBLANK(card_database!$R$36),-1,card_database!$R$36)</f>
        <v>-1</v>
      </c>
      <c r="S36">
        <f>IF(ISBLANK(card_database!$S$36),-1,card_database!$S$36)</f>
        <v>-1</v>
      </c>
      <c r="T36">
        <f>IF(ISBLANK(card_database!$T$36),-1,MATCH(card_database!$T$36,効果, 0) - 1)</f>
        <v>-1</v>
      </c>
      <c r="U36">
        <f>IF(ISBLANK(card_database!$U$36),-1,card_database!$U$36)</f>
        <v>-1</v>
      </c>
      <c r="V36">
        <f>IF(ISBLANK(card_database!$V$36),-1,card_database!$V$36)</f>
        <v>-1</v>
      </c>
      <c r="W36">
        <f>IF(ISBLANK(card_database!$W$36),-1,MATCH(card_database!$W$36,条件, 0) - 1)</f>
        <v>-1</v>
      </c>
      <c r="X36">
        <f>IF(ISBLANK(card_database!$X$36),-1,card_database!$X$36)</f>
        <v>-1</v>
      </c>
      <c r="Y36">
        <f>IF(ISBLANK(card_database!$Y$36),-1,card_database!$Y$36)</f>
        <v>-1</v>
      </c>
      <c r="Z36">
        <f>IF(ISBLANK(card_database!$Z$36),-1,MATCH(card_database!$Z$36,効果, 0) - 1)</f>
        <v>-1</v>
      </c>
      <c r="AA36">
        <f>IF(ISBLANK(card_database!$AA$36),-1,card_database!$AA$36)</f>
        <v>-1</v>
      </c>
      <c r="AB36">
        <f>IF(ISBLANK(card_database!$AB$36),-1,card_database!$AB$36)</f>
        <v>-1</v>
      </c>
      <c r="AC36">
        <f>IF(ISBLANK(card_database!$AC$36),-1,MATCH(card_database!$AC$36,条件, 0) - 1)</f>
        <v>-1</v>
      </c>
      <c r="AD36">
        <f>IF(ISBLANK(card_database!$AD$36),-1,card_database!$AD$36)</f>
        <v>-1</v>
      </c>
      <c r="AE36">
        <f>IF(ISBLANK(card_database!$AE$36),-1,card_database!$AE$36)</f>
        <v>-1</v>
      </c>
      <c r="AF36">
        <f>IF(ISBLANK(card_database!$AF$36),-1,MATCH(card_database!$AF$36,効果, 0) - 1)</f>
        <v>-1</v>
      </c>
      <c r="AG36">
        <f>IF(ISBLANK(card_database!$AG$36),-1,card_database!$AG$36)</f>
        <v>-1</v>
      </c>
      <c r="AH36">
        <f>IF(ISBLANK(card_database!$AH$36),-1,card_database!$AH$36)</f>
        <v>-1</v>
      </c>
      <c r="AI36">
        <f>IF(ISBLANK(card_database!$AI$36),-1,MATCH(card_database!$AI$36,条件, 0) - 1)</f>
        <v>-1</v>
      </c>
      <c r="AJ36">
        <f>IF(ISBLANK(card_database!$AJ$36),-1,card_database!$AJ$36)</f>
        <v>-1</v>
      </c>
      <c r="AK36">
        <f>IF(ISBLANK(card_database!$AK$36),-1,card_database!$AK$36)</f>
        <v>-1</v>
      </c>
      <c r="AL36">
        <f>IF(ISBLANK(card_database!$AL$36),-1,MATCH(card_database!$AL$36,わざ, 0) - 1)</f>
        <v>-1</v>
      </c>
      <c r="AM36">
        <f>IF(ISBLANK(card_database!$AM$36),-1,card_database!$AM$36)</f>
        <v>-1</v>
      </c>
      <c r="AN36">
        <f>IF(ISBLANK(card_database!$AN$36),-1,card_database!$AN$36)</f>
        <v>-1</v>
      </c>
      <c r="AO36">
        <f>IF(ISBLANK(card_database!$AO$36),-1,MATCH(card_database!$AO$36,条件, 0) - 1)</f>
        <v>-1</v>
      </c>
      <c r="AP36">
        <f>IF(ISBLANK(card_database!$AP$36),-1,card_database!$AP$36)</f>
        <v>-1</v>
      </c>
      <c r="AQ36">
        <f>IF(ISBLANK(card_database!$AQ$36),-1,card_database!$AQ$36)</f>
        <v>-1</v>
      </c>
      <c r="AR36">
        <f>IF(ISBLANK(card_database!$AR$36),-1,MATCH(card_database!$AR$36,わざ, 0) - 1)</f>
        <v>-1</v>
      </c>
      <c r="AS36">
        <f>IF(ISBLANK(card_database!$AS$36),-1,card_database!$AS$36)</f>
        <v>-1</v>
      </c>
      <c r="AT36">
        <f>IF(ISBLANK(card_database!$AT$36),-1,card_database!$AT$36)</f>
        <v>-1</v>
      </c>
      <c r="AU36">
        <f>IF(ISBLANK(card_database!$AU$36),-1,MATCH(card_database!$AU$36,条件, 0) - 1)</f>
        <v>-1</v>
      </c>
      <c r="AV36">
        <f>IF(ISBLANK(card_database!$AV$36),-1,card_database!$AV$36)</f>
        <v>-1</v>
      </c>
      <c r="AW36">
        <f>IF(ISBLANK(card_database!$AW$36),-1,card_database!$AW$36)</f>
        <v>-1</v>
      </c>
      <c r="AX36">
        <f>IF(ISBLANK(card_database!$AX$36),-1,MATCH(card_database!$AX$36,わざ, 0) - 1)</f>
        <v>-1</v>
      </c>
      <c r="AY36">
        <f>IF(ISBLANK(card_database!$AY$36),-1,card_database!$AY$36)</f>
        <v>-1</v>
      </c>
      <c r="AZ36">
        <f>IF(ISBLANK(card_database!$AZ$36),-1,card_database!$AZ$36)</f>
        <v>-1</v>
      </c>
      <c r="BA36">
        <f>IF(ISBLANK(card_database!$BA$36),-1,MATCH(card_database!$BA$36,条件, 0) - 1)</f>
        <v>-1</v>
      </c>
      <c r="BB36">
        <f>IF(ISBLANK(card_database!$BB$36),-1,card_database!$BB$36)</f>
        <v>-1</v>
      </c>
      <c r="BC36">
        <f>IF(ISBLANK(card_database!$BC$36),-1,card_database!$BC$36)</f>
        <v>-1</v>
      </c>
      <c r="BD36">
        <f>IF(ISBLANK(card_database!$BD$36),-1,MATCH(card_database!$BD$36,わざ, 0) - 1)</f>
        <v>-1</v>
      </c>
      <c r="BE36">
        <f>IF(ISBLANK(card_database!$BE$36),-1,card_database!$BE$36)</f>
        <v>-1</v>
      </c>
      <c r="BF36">
        <f>IF(ISBLANK(card_database!$BF$36),-1,card_database!$BF$36)</f>
        <v>-1</v>
      </c>
      <c r="BG36">
        <f>IF(ISBLANK(card_database!$BG$36),-1,card_database!$BG$36)</f>
        <v>-1</v>
      </c>
      <c r="BH36">
        <f>IF(ISBLANK(card_database!$BB$36),-1,card_database!$BB$36)</f>
        <v>-1</v>
      </c>
      <c r="BI36">
        <f>IF(ISBLANK(card_database!$BC$36),-1,card_database!$BC$36)</f>
        <v>-1</v>
      </c>
      <c r="BJ36">
        <f>IF(ISBLANK(card_database!$BD$36),-1,MATCH(card_database!$BD$36,わざ, 0) - 1)</f>
        <v>-1</v>
      </c>
    </row>
    <row r="37" spans="1:62" x14ac:dyDescent="0.55000000000000004">
      <c r="A37">
        <f>IF(ISBLANK(card_database!$A$37),-1,card_database!$A$37)</f>
        <v>31</v>
      </c>
      <c r="B37" t="str">
        <f>IF(ISBLANK(card_database!$B$37),-1,card_database!$B$37)</f>
        <v>マウンテン・ウォーリアー</v>
      </c>
      <c r="C37" t="str">
        <f>IF(ISBLANK(card_database!$C$37),-1,card_database!$C$37)</f>
        <v>足場の悪い所でもガンガン動きまわる頑丈な戦士。</v>
      </c>
      <c r="D37">
        <f>IF(ISBLANK(card_database!$D$37),-1,card_database!$D$37)</f>
        <v>31</v>
      </c>
      <c r="E37">
        <f>IF(ISBLANK(card_database!$E$37),-1,MATCH(card_database!$E$37,タイプ, 0) - 1)</f>
        <v>-1</v>
      </c>
      <c r="F37">
        <f>IF(ISBLANK(card_database!$F$37),-1,MATCH(card_database!$F$37,タイプ詳細, 0) - 1)</f>
        <v>-1</v>
      </c>
      <c r="G37">
        <f>IF(ISBLANK(card_database!$G$37),-1,card_database!$G$37)</f>
        <v>-1</v>
      </c>
      <c r="H37">
        <f>IF(ISBLANK(card_database!$H$37),-1,card_database!$H$37)</f>
        <v>-1</v>
      </c>
      <c r="I37">
        <f>IF(ISBLANK(card_database!$I$37),-1,MATCH(card_database!$I$37,属性, 0) - 1)</f>
        <v>-1</v>
      </c>
      <c r="J37">
        <f>IF(ISBLANK(card_database!$J$37),-1,MATCH(card_database!$J$37,種族, 0) - 1)</f>
        <v>-1</v>
      </c>
      <c r="K37">
        <f>IF(ISBLANK(card_database!$K$37),-1,card_database!$K$37)</f>
        <v>-1</v>
      </c>
      <c r="L37">
        <f>IF(ISBLANK(card_database!$L$37),-1,card_database!$L$37)</f>
        <v>-1</v>
      </c>
      <c r="M37">
        <f>IF(ISBLANK(card_database!$M$37),-1,card_database!$M$37)</f>
        <v>-1</v>
      </c>
      <c r="N37">
        <f>IF(ISBLANK(card_database!$N$37),-1,card_database!$N$37)</f>
        <v>-1</v>
      </c>
      <c r="O37">
        <f>IF(ISBLANK(card_database!$O$37),-1,card_database!$O$37)</f>
        <v>-1</v>
      </c>
      <c r="P37">
        <f>IF(ISBLANK(card_database!$P$37),-1,MATCH(card_database!$P$37,条件, 0) - 1)</f>
        <v>-1</v>
      </c>
      <c r="Q37">
        <f>IF(ISBLANK(card_database!$Q$37),-1,MATCH(card_database!$Q$37,条件, 0) - 1)</f>
        <v>-1</v>
      </c>
      <c r="R37">
        <f>IF(ISBLANK(card_database!$R$37),-1,card_database!$R$37)</f>
        <v>-1</v>
      </c>
      <c r="S37">
        <f>IF(ISBLANK(card_database!$S$37),-1,card_database!$S$37)</f>
        <v>-1</v>
      </c>
      <c r="T37">
        <f>IF(ISBLANK(card_database!$T$37),-1,MATCH(card_database!$T$37,効果, 0) - 1)</f>
        <v>-1</v>
      </c>
      <c r="U37">
        <f>IF(ISBLANK(card_database!$U$37),-1,card_database!$U$37)</f>
        <v>-1</v>
      </c>
      <c r="V37">
        <f>IF(ISBLANK(card_database!$V$37),-1,card_database!$V$37)</f>
        <v>-1</v>
      </c>
      <c r="W37">
        <f>IF(ISBLANK(card_database!$W$37),-1,MATCH(card_database!$W$37,条件, 0) - 1)</f>
        <v>-1</v>
      </c>
      <c r="X37">
        <f>IF(ISBLANK(card_database!$X$37),-1,card_database!$X$37)</f>
        <v>-1</v>
      </c>
      <c r="Y37">
        <f>IF(ISBLANK(card_database!$Y$37),-1,card_database!$Y$37)</f>
        <v>-1</v>
      </c>
      <c r="Z37">
        <f>IF(ISBLANK(card_database!$Z$37),-1,MATCH(card_database!$Z$37,効果, 0) - 1)</f>
        <v>-1</v>
      </c>
      <c r="AA37">
        <f>IF(ISBLANK(card_database!$AA$37),-1,card_database!$AA$37)</f>
        <v>-1</v>
      </c>
      <c r="AB37">
        <f>IF(ISBLANK(card_database!$AB$37),-1,card_database!$AB$37)</f>
        <v>-1</v>
      </c>
      <c r="AC37">
        <f>IF(ISBLANK(card_database!$AC$37),-1,MATCH(card_database!$AC$37,条件, 0) - 1)</f>
        <v>-1</v>
      </c>
      <c r="AD37">
        <f>IF(ISBLANK(card_database!$AD$37),-1,card_database!$AD$37)</f>
        <v>-1</v>
      </c>
      <c r="AE37">
        <f>IF(ISBLANK(card_database!$AE$37),-1,card_database!$AE$37)</f>
        <v>-1</v>
      </c>
      <c r="AF37">
        <f>IF(ISBLANK(card_database!$AF$37),-1,MATCH(card_database!$AF$37,効果, 0) - 1)</f>
        <v>-1</v>
      </c>
      <c r="AG37">
        <f>IF(ISBLANK(card_database!$AG$37),-1,card_database!$AG$37)</f>
        <v>-1</v>
      </c>
      <c r="AH37">
        <f>IF(ISBLANK(card_database!$AH$37),-1,card_database!$AH$37)</f>
        <v>-1</v>
      </c>
      <c r="AI37">
        <f>IF(ISBLANK(card_database!$AI$37),-1,MATCH(card_database!$AI$37,条件, 0) - 1)</f>
        <v>-1</v>
      </c>
      <c r="AJ37">
        <f>IF(ISBLANK(card_database!$AJ$37),-1,card_database!$AJ$37)</f>
        <v>-1</v>
      </c>
      <c r="AK37">
        <f>IF(ISBLANK(card_database!$AK$37),-1,card_database!$AK$37)</f>
        <v>-1</v>
      </c>
      <c r="AL37">
        <f>IF(ISBLANK(card_database!$AL$37),-1,MATCH(card_database!$AL$37,わざ, 0) - 1)</f>
        <v>-1</v>
      </c>
      <c r="AM37">
        <f>IF(ISBLANK(card_database!$AM$37),-1,card_database!$AM$37)</f>
        <v>-1</v>
      </c>
      <c r="AN37">
        <f>IF(ISBLANK(card_database!$AN$37),-1,card_database!$AN$37)</f>
        <v>-1</v>
      </c>
      <c r="AO37">
        <f>IF(ISBLANK(card_database!$AO$37),-1,MATCH(card_database!$AO$37,条件, 0) - 1)</f>
        <v>-1</v>
      </c>
      <c r="AP37">
        <f>IF(ISBLANK(card_database!$AP$37),-1,card_database!$AP$37)</f>
        <v>-1</v>
      </c>
      <c r="AQ37">
        <f>IF(ISBLANK(card_database!$AQ$37),-1,card_database!$AQ$37)</f>
        <v>-1</v>
      </c>
      <c r="AR37">
        <f>IF(ISBLANK(card_database!$AR$37),-1,MATCH(card_database!$AR$37,わざ, 0) - 1)</f>
        <v>-1</v>
      </c>
      <c r="AS37">
        <f>IF(ISBLANK(card_database!$AS$37),-1,card_database!$AS$37)</f>
        <v>-1</v>
      </c>
      <c r="AT37">
        <f>IF(ISBLANK(card_database!$AT$37),-1,card_database!$AT$37)</f>
        <v>-1</v>
      </c>
      <c r="AU37">
        <f>IF(ISBLANK(card_database!$AU$37),-1,MATCH(card_database!$AU$37,条件, 0) - 1)</f>
        <v>-1</v>
      </c>
      <c r="AV37">
        <f>IF(ISBLANK(card_database!$AV$37),-1,card_database!$AV$37)</f>
        <v>-1</v>
      </c>
      <c r="AW37">
        <f>IF(ISBLANK(card_database!$AW$37),-1,card_database!$AW$37)</f>
        <v>-1</v>
      </c>
      <c r="AX37">
        <f>IF(ISBLANK(card_database!$AX$37),-1,MATCH(card_database!$AX$37,わざ, 0) - 1)</f>
        <v>-1</v>
      </c>
      <c r="AY37">
        <f>IF(ISBLANK(card_database!$AY$37),-1,card_database!$AY$37)</f>
        <v>-1</v>
      </c>
      <c r="AZ37">
        <f>IF(ISBLANK(card_database!$AZ$37),-1,card_database!$AZ$37)</f>
        <v>-1</v>
      </c>
      <c r="BA37">
        <f>IF(ISBLANK(card_database!$BA$37),-1,MATCH(card_database!$BA$37,条件, 0) - 1)</f>
        <v>-1</v>
      </c>
      <c r="BB37">
        <f>IF(ISBLANK(card_database!$BB$37),-1,card_database!$BB$37)</f>
        <v>-1</v>
      </c>
      <c r="BC37">
        <f>IF(ISBLANK(card_database!$BC$37),-1,card_database!$BC$37)</f>
        <v>-1</v>
      </c>
      <c r="BD37">
        <f>IF(ISBLANK(card_database!$BD$37),-1,MATCH(card_database!$BD$37,わざ, 0) - 1)</f>
        <v>-1</v>
      </c>
      <c r="BE37">
        <f>IF(ISBLANK(card_database!$BE$37),-1,card_database!$BE$37)</f>
        <v>-1</v>
      </c>
      <c r="BF37">
        <f>IF(ISBLANK(card_database!$BF$37),-1,card_database!$BF$37)</f>
        <v>-1</v>
      </c>
      <c r="BG37">
        <f>IF(ISBLANK(card_database!$BG$37),-1,card_database!$BG$37)</f>
        <v>-1</v>
      </c>
      <c r="BH37">
        <f>IF(ISBLANK(card_database!$BB$37),-1,card_database!$BB$37)</f>
        <v>-1</v>
      </c>
      <c r="BI37">
        <f>IF(ISBLANK(card_database!$BC$37),-1,card_database!$BC$37)</f>
        <v>-1</v>
      </c>
      <c r="BJ37">
        <f>IF(ISBLANK(card_database!$BD$37),-1,MATCH(card_database!$BD$37,わざ, 0) - 1)</f>
        <v>-1</v>
      </c>
    </row>
    <row r="38" spans="1:62" x14ac:dyDescent="0.55000000000000004">
      <c r="A38">
        <f>IF(ISBLANK(card_database!$A$38),-1,card_database!$A$38)</f>
        <v>32</v>
      </c>
      <c r="B38" t="str">
        <f>IF(ISBLANK(card_database!$B$38),-1,card_database!$B$38)</f>
        <v>マグマン</v>
      </c>
      <c r="C38" t="str">
        <f>IF(ISBLANK(card_database!$C$38),-1,card_database!$C$38)</f>
        <v>マグマの中から生まれたモンスター。ものすごい熱で近づくものは溶ける。</v>
      </c>
      <c r="D38">
        <f>IF(ISBLANK(card_database!$D$38),-1,card_database!$D$38)</f>
        <v>32</v>
      </c>
      <c r="E38">
        <f>IF(ISBLANK(card_database!$E$38),-1,MATCH(card_database!$E$38,タイプ, 0) - 1)</f>
        <v>-1</v>
      </c>
      <c r="F38">
        <f>IF(ISBLANK(card_database!$F$38),-1,MATCH(card_database!$F$38,タイプ詳細, 0) - 1)</f>
        <v>-1</v>
      </c>
      <c r="G38">
        <f>IF(ISBLANK(card_database!$G$38),-1,card_database!$G$38)</f>
        <v>-1</v>
      </c>
      <c r="H38">
        <f>IF(ISBLANK(card_database!$H$38),-1,card_database!$H$38)</f>
        <v>-1</v>
      </c>
      <c r="I38">
        <f>IF(ISBLANK(card_database!$I$38),-1,MATCH(card_database!$I$38,属性, 0) - 1)</f>
        <v>-1</v>
      </c>
      <c r="J38">
        <f>IF(ISBLANK(card_database!$J$38),-1,MATCH(card_database!$J$38,種族, 0) - 1)</f>
        <v>-1</v>
      </c>
      <c r="K38">
        <f>IF(ISBLANK(card_database!$K$38),-1,card_database!$K$38)</f>
        <v>-1</v>
      </c>
      <c r="L38">
        <f>IF(ISBLANK(card_database!$L$38),-1,card_database!$L$38)</f>
        <v>-1</v>
      </c>
      <c r="M38">
        <f>IF(ISBLANK(card_database!$M$38),-1,card_database!$M$38)</f>
        <v>-1</v>
      </c>
      <c r="N38">
        <f>IF(ISBLANK(card_database!$N$38),-1,card_database!$N$38)</f>
        <v>-1</v>
      </c>
      <c r="O38">
        <f>IF(ISBLANK(card_database!$O$38),-1,card_database!$O$38)</f>
        <v>-1</v>
      </c>
      <c r="P38">
        <f>IF(ISBLANK(card_database!$P$38),-1,MATCH(card_database!$P$38,条件, 0) - 1)</f>
        <v>-1</v>
      </c>
      <c r="Q38">
        <f>IF(ISBLANK(card_database!$Q$38),-1,MATCH(card_database!$Q$38,条件, 0) - 1)</f>
        <v>-1</v>
      </c>
      <c r="R38">
        <f>IF(ISBLANK(card_database!$R$38),-1,card_database!$R$38)</f>
        <v>-1</v>
      </c>
      <c r="S38">
        <f>IF(ISBLANK(card_database!$S$38),-1,card_database!$S$38)</f>
        <v>-1</v>
      </c>
      <c r="T38">
        <f>IF(ISBLANK(card_database!$T$38),-1,MATCH(card_database!$T$38,効果, 0) - 1)</f>
        <v>-1</v>
      </c>
      <c r="U38">
        <f>IF(ISBLANK(card_database!$U$38),-1,card_database!$U$38)</f>
        <v>-1</v>
      </c>
      <c r="V38">
        <f>IF(ISBLANK(card_database!$V$38),-1,card_database!$V$38)</f>
        <v>-1</v>
      </c>
      <c r="W38">
        <f>IF(ISBLANK(card_database!$W$38),-1,MATCH(card_database!$W$38,条件, 0) - 1)</f>
        <v>-1</v>
      </c>
      <c r="X38">
        <f>IF(ISBLANK(card_database!$X$38),-1,card_database!$X$38)</f>
        <v>-1</v>
      </c>
      <c r="Y38">
        <f>IF(ISBLANK(card_database!$Y$38),-1,card_database!$Y$38)</f>
        <v>-1</v>
      </c>
      <c r="Z38">
        <f>IF(ISBLANK(card_database!$Z$38),-1,MATCH(card_database!$Z$38,効果, 0) - 1)</f>
        <v>-1</v>
      </c>
      <c r="AA38">
        <f>IF(ISBLANK(card_database!$AA$38),-1,card_database!$AA$38)</f>
        <v>-1</v>
      </c>
      <c r="AB38">
        <f>IF(ISBLANK(card_database!$AB$38),-1,card_database!$AB$38)</f>
        <v>-1</v>
      </c>
      <c r="AC38">
        <f>IF(ISBLANK(card_database!$AC$38),-1,MATCH(card_database!$AC$38,条件, 0) - 1)</f>
        <v>-1</v>
      </c>
      <c r="AD38">
        <f>IF(ISBLANK(card_database!$AD$38),-1,card_database!$AD$38)</f>
        <v>-1</v>
      </c>
      <c r="AE38">
        <f>IF(ISBLANK(card_database!$AE$38),-1,card_database!$AE$38)</f>
        <v>-1</v>
      </c>
      <c r="AF38">
        <f>IF(ISBLANK(card_database!$AF$38),-1,MATCH(card_database!$AF$38,効果, 0) - 1)</f>
        <v>-1</v>
      </c>
      <c r="AG38">
        <f>IF(ISBLANK(card_database!$AG$38),-1,card_database!$AG$38)</f>
        <v>-1</v>
      </c>
      <c r="AH38">
        <f>IF(ISBLANK(card_database!$AH$38),-1,card_database!$AH$38)</f>
        <v>-1</v>
      </c>
      <c r="AI38">
        <f>IF(ISBLANK(card_database!$AI$38),-1,MATCH(card_database!$AI$38,条件, 0) - 1)</f>
        <v>-1</v>
      </c>
      <c r="AJ38">
        <f>IF(ISBLANK(card_database!$AJ$38),-1,card_database!$AJ$38)</f>
        <v>-1</v>
      </c>
      <c r="AK38">
        <f>IF(ISBLANK(card_database!$AK$38),-1,card_database!$AK$38)</f>
        <v>-1</v>
      </c>
      <c r="AL38">
        <f>IF(ISBLANK(card_database!$AL$38),-1,MATCH(card_database!$AL$38,わざ, 0) - 1)</f>
        <v>-1</v>
      </c>
      <c r="AM38">
        <f>IF(ISBLANK(card_database!$AM$38),-1,card_database!$AM$38)</f>
        <v>-1</v>
      </c>
      <c r="AN38">
        <f>IF(ISBLANK(card_database!$AN$38),-1,card_database!$AN$38)</f>
        <v>-1</v>
      </c>
      <c r="AO38">
        <f>IF(ISBLANK(card_database!$AO$38),-1,MATCH(card_database!$AO$38,条件, 0) - 1)</f>
        <v>-1</v>
      </c>
      <c r="AP38">
        <f>IF(ISBLANK(card_database!$AP$38),-1,card_database!$AP$38)</f>
        <v>-1</v>
      </c>
      <c r="AQ38">
        <f>IF(ISBLANK(card_database!$AQ$38),-1,card_database!$AQ$38)</f>
        <v>-1</v>
      </c>
      <c r="AR38">
        <f>IF(ISBLANK(card_database!$AR$38),-1,MATCH(card_database!$AR$38,わざ, 0) - 1)</f>
        <v>-1</v>
      </c>
      <c r="AS38">
        <f>IF(ISBLANK(card_database!$AS$38),-1,card_database!$AS$38)</f>
        <v>-1</v>
      </c>
      <c r="AT38">
        <f>IF(ISBLANK(card_database!$AT$38),-1,card_database!$AT$38)</f>
        <v>-1</v>
      </c>
      <c r="AU38">
        <f>IF(ISBLANK(card_database!$AU$38),-1,MATCH(card_database!$AU$38,条件, 0) - 1)</f>
        <v>-1</v>
      </c>
      <c r="AV38">
        <f>IF(ISBLANK(card_database!$AV$38),-1,card_database!$AV$38)</f>
        <v>-1</v>
      </c>
      <c r="AW38">
        <f>IF(ISBLANK(card_database!$AW$38),-1,card_database!$AW$38)</f>
        <v>-1</v>
      </c>
      <c r="AX38">
        <f>IF(ISBLANK(card_database!$AX$38),-1,MATCH(card_database!$AX$38,わざ, 0) - 1)</f>
        <v>-1</v>
      </c>
      <c r="AY38">
        <f>IF(ISBLANK(card_database!$AY$38),-1,card_database!$AY$38)</f>
        <v>-1</v>
      </c>
      <c r="AZ38">
        <f>IF(ISBLANK(card_database!$AZ$38),-1,card_database!$AZ$38)</f>
        <v>-1</v>
      </c>
      <c r="BA38">
        <f>IF(ISBLANK(card_database!$BA$38),-1,MATCH(card_database!$BA$38,条件, 0) - 1)</f>
        <v>-1</v>
      </c>
      <c r="BB38">
        <f>IF(ISBLANK(card_database!$BB$38),-1,card_database!$BB$38)</f>
        <v>-1</v>
      </c>
      <c r="BC38">
        <f>IF(ISBLANK(card_database!$BC$38),-1,card_database!$BC$38)</f>
        <v>-1</v>
      </c>
      <c r="BD38">
        <f>IF(ISBLANK(card_database!$BD$38),-1,MATCH(card_database!$BD$38,わざ, 0) - 1)</f>
        <v>-1</v>
      </c>
      <c r="BE38">
        <f>IF(ISBLANK(card_database!$BE$38),-1,card_database!$BE$38)</f>
        <v>-1</v>
      </c>
      <c r="BF38">
        <f>IF(ISBLANK(card_database!$BF$38),-1,card_database!$BF$38)</f>
        <v>-1</v>
      </c>
      <c r="BG38">
        <f>IF(ISBLANK(card_database!$BG$38),-1,card_database!$BG$38)</f>
        <v>-1</v>
      </c>
      <c r="BH38">
        <f>IF(ISBLANK(card_database!$BB$38),-1,card_database!$BB$38)</f>
        <v>-1</v>
      </c>
      <c r="BI38">
        <f>IF(ISBLANK(card_database!$BC$38),-1,card_database!$BC$38)</f>
        <v>-1</v>
      </c>
      <c r="BJ38">
        <f>IF(ISBLANK(card_database!$BD$38),-1,MATCH(card_database!$BD$38,わざ, 0) - 1)</f>
        <v>-1</v>
      </c>
    </row>
    <row r="39" spans="1:62" x14ac:dyDescent="0.55000000000000004">
      <c r="A39">
        <f>IF(ISBLANK(card_database!$A$39),-1,card_database!$A$39)</f>
        <v>33</v>
      </c>
      <c r="B39" t="str">
        <f>IF(ISBLANK(card_database!$B$39),-1,card_database!$B$39)</f>
        <v>魔人銃</v>
      </c>
      <c r="C39" t="str">
        <f>IF(ISBLANK(card_database!$C$39),-1,card_database!$C$39)</f>
        <v>口から弾を発射して攻撃する生物兵器。</v>
      </c>
      <c r="D39">
        <f>IF(ISBLANK(card_database!$D$39),-1,card_database!$D$39)</f>
        <v>33</v>
      </c>
      <c r="E39">
        <f>IF(ISBLANK(card_database!$E$39),-1,MATCH(card_database!$E$39,タイプ, 0) - 1)</f>
        <v>-1</v>
      </c>
      <c r="F39">
        <f>IF(ISBLANK(card_database!$F$39),-1,MATCH(card_database!$F$39,タイプ詳細, 0) - 1)</f>
        <v>-1</v>
      </c>
      <c r="G39">
        <f>IF(ISBLANK(card_database!$G$39),-1,card_database!$G$39)</f>
        <v>-1</v>
      </c>
      <c r="H39">
        <f>IF(ISBLANK(card_database!$H$39),-1,card_database!$H$39)</f>
        <v>-1</v>
      </c>
      <c r="I39">
        <f>IF(ISBLANK(card_database!$I$39),-1,MATCH(card_database!$I$39,属性, 0) - 1)</f>
        <v>-1</v>
      </c>
      <c r="J39">
        <f>IF(ISBLANK(card_database!$J$39),-1,MATCH(card_database!$J$39,種族, 0) - 1)</f>
        <v>-1</v>
      </c>
      <c r="K39">
        <f>IF(ISBLANK(card_database!$K$39),-1,card_database!$K$39)</f>
        <v>-1</v>
      </c>
      <c r="L39">
        <f>IF(ISBLANK(card_database!$L$39),-1,card_database!$L$39)</f>
        <v>-1</v>
      </c>
      <c r="M39">
        <f>IF(ISBLANK(card_database!$M$39),-1,card_database!$M$39)</f>
        <v>-1</v>
      </c>
      <c r="N39">
        <f>IF(ISBLANK(card_database!$N$39),-1,card_database!$N$39)</f>
        <v>-1</v>
      </c>
      <c r="O39">
        <f>IF(ISBLANK(card_database!$O$39),-1,card_database!$O$39)</f>
        <v>-1</v>
      </c>
      <c r="P39">
        <f>IF(ISBLANK(card_database!$P$39),-1,MATCH(card_database!$P$39,条件, 0) - 1)</f>
        <v>-1</v>
      </c>
      <c r="Q39">
        <f>IF(ISBLANK(card_database!$Q$39),-1,MATCH(card_database!$Q$39,条件, 0) - 1)</f>
        <v>-1</v>
      </c>
      <c r="R39">
        <f>IF(ISBLANK(card_database!$R$39),-1,card_database!$R$39)</f>
        <v>-1</v>
      </c>
      <c r="S39">
        <f>IF(ISBLANK(card_database!$S$39),-1,card_database!$S$39)</f>
        <v>-1</v>
      </c>
      <c r="T39">
        <f>IF(ISBLANK(card_database!$T$39),-1,MATCH(card_database!$T$39,効果, 0) - 1)</f>
        <v>-1</v>
      </c>
      <c r="U39">
        <f>IF(ISBLANK(card_database!$U$39),-1,card_database!$U$39)</f>
        <v>-1</v>
      </c>
      <c r="V39">
        <f>IF(ISBLANK(card_database!$V$39),-1,card_database!$V$39)</f>
        <v>-1</v>
      </c>
      <c r="W39">
        <f>IF(ISBLANK(card_database!$W$39),-1,MATCH(card_database!$W$39,条件, 0) - 1)</f>
        <v>-1</v>
      </c>
      <c r="X39">
        <f>IF(ISBLANK(card_database!$X$39),-1,card_database!$X$39)</f>
        <v>-1</v>
      </c>
      <c r="Y39">
        <f>IF(ISBLANK(card_database!$Y$39),-1,card_database!$Y$39)</f>
        <v>-1</v>
      </c>
      <c r="Z39">
        <f>IF(ISBLANK(card_database!$Z$39),-1,MATCH(card_database!$Z$39,効果, 0) - 1)</f>
        <v>-1</v>
      </c>
      <c r="AA39">
        <f>IF(ISBLANK(card_database!$AA$39),-1,card_database!$AA$39)</f>
        <v>-1</v>
      </c>
      <c r="AB39">
        <f>IF(ISBLANK(card_database!$AB$39),-1,card_database!$AB$39)</f>
        <v>-1</v>
      </c>
      <c r="AC39">
        <f>IF(ISBLANK(card_database!$AC$39),-1,MATCH(card_database!$AC$39,条件, 0) - 1)</f>
        <v>-1</v>
      </c>
      <c r="AD39">
        <f>IF(ISBLANK(card_database!$AD$39),-1,card_database!$AD$39)</f>
        <v>-1</v>
      </c>
      <c r="AE39">
        <f>IF(ISBLANK(card_database!$AE$39),-1,card_database!$AE$39)</f>
        <v>-1</v>
      </c>
      <c r="AF39">
        <f>IF(ISBLANK(card_database!$AF$39),-1,MATCH(card_database!$AF$39,効果, 0) - 1)</f>
        <v>-1</v>
      </c>
      <c r="AG39">
        <f>IF(ISBLANK(card_database!$AG$39),-1,card_database!$AG$39)</f>
        <v>-1</v>
      </c>
      <c r="AH39">
        <f>IF(ISBLANK(card_database!$AH$39),-1,card_database!$AH$39)</f>
        <v>-1</v>
      </c>
      <c r="AI39">
        <f>IF(ISBLANK(card_database!$AI$39),-1,MATCH(card_database!$AI$39,条件, 0) - 1)</f>
        <v>-1</v>
      </c>
      <c r="AJ39">
        <f>IF(ISBLANK(card_database!$AJ$39),-1,card_database!$AJ$39)</f>
        <v>-1</v>
      </c>
      <c r="AK39">
        <f>IF(ISBLANK(card_database!$AK$39),-1,card_database!$AK$39)</f>
        <v>-1</v>
      </c>
      <c r="AL39">
        <f>IF(ISBLANK(card_database!$AL$39),-1,MATCH(card_database!$AL$39,わざ, 0) - 1)</f>
        <v>-1</v>
      </c>
      <c r="AM39">
        <f>IF(ISBLANK(card_database!$AM$39),-1,card_database!$AM$39)</f>
        <v>-1</v>
      </c>
      <c r="AN39">
        <f>IF(ISBLANK(card_database!$AN$39),-1,card_database!$AN$39)</f>
        <v>-1</v>
      </c>
      <c r="AO39">
        <f>IF(ISBLANK(card_database!$AO$39),-1,MATCH(card_database!$AO$39,条件, 0) - 1)</f>
        <v>-1</v>
      </c>
      <c r="AP39">
        <f>IF(ISBLANK(card_database!$AP$39),-1,card_database!$AP$39)</f>
        <v>-1</v>
      </c>
      <c r="AQ39">
        <f>IF(ISBLANK(card_database!$AQ$39),-1,card_database!$AQ$39)</f>
        <v>-1</v>
      </c>
      <c r="AR39">
        <f>IF(ISBLANK(card_database!$AR$39),-1,MATCH(card_database!$AR$39,わざ, 0) - 1)</f>
        <v>-1</v>
      </c>
      <c r="AS39">
        <f>IF(ISBLANK(card_database!$AS$39),-1,card_database!$AS$39)</f>
        <v>-1</v>
      </c>
      <c r="AT39">
        <f>IF(ISBLANK(card_database!$AT$39),-1,card_database!$AT$39)</f>
        <v>-1</v>
      </c>
      <c r="AU39">
        <f>IF(ISBLANK(card_database!$AU$39),-1,MATCH(card_database!$AU$39,条件, 0) - 1)</f>
        <v>-1</v>
      </c>
      <c r="AV39">
        <f>IF(ISBLANK(card_database!$AV$39),-1,card_database!$AV$39)</f>
        <v>-1</v>
      </c>
      <c r="AW39">
        <f>IF(ISBLANK(card_database!$AW$39),-1,card_database!$AW$39)</f>
        <v>-1</v>
      </c>
      <c r="AX39">
        <f>IF(ISBLANK(card_database!$AX$39),-1,MATCH(card_database!$AX$39,わざ, 0) - 1)</f>
        <v>-1</v>
      </c>
      <c r="AY39">
        <f>IF(ISBLANK(card_database!$AY$39),-1,card_database!$AY$39)</f>
        <v>-1</v>
      </c>
      <c r="AZ39">
        <f>IF(ISBLANK(card_database!$AZ$39),-1,card_database!$AZ$39)</f>
        <v>-1</v>
      </c>
      <c r="BA39">
        <f>IF(ISBLANK(card_database!$BA$39),-1,MATCH(card_database!$BA$39,条件, 0) - 1)</f>
        <v>-1</v>
      </c>
      <c r="BB39">
        <f>IF(ISBLANK(card_database!$BB$39),-1,card_database!$BB$39)</f>
        <v>-1</v>
      </c>
      <c r="BC39">
        <f>IF(ISBLANK(card_database!$BC$39),-1,card_database!$BC$39)</f>
        <v>-1</v>
      </c>
      <c r="BD39">
        <f>IF(ISBLANK(card_database!$BD$39),-1,MATCH(card_database!$BD$39,わざ, 0) - 1)</f>
        <v>-1</v>
      </c>
      <c r="BE39">
        <f>IF(ISBLANK(card_database!$BE$39),-1,card_database!$BE$39)</f>
        <v>-1</v>
      </c>
      <c r="BF39">
        <f>IF(ISBLANK(card_database!$BF$39),-1,card_database!$BF$39)</f>
        <v>-1</v>
      </c>
      <c r="BG39">
        <f>IF(ISBLANK(card_database!$BG$39),-1,card_database!$BG$39)</f>
        <v>-1</v>
      </c>
      <c r="BH39">
        <f>IF(ISBLANK(card_database!$BB$39),-1,card_database!$BB$39)</f>
        <v>-1</v>
      </c>
      <c r="BI39">
        <f>IF(ISBLANK(card_database!$BC$39),-1,card_database!$BC$39)</f>
        <v>-1</v>
      </c>
      <c r="BJ39">
        <f>IF(ISBLANK(card_database!$BD$39),-1,MATCH(card_database!$BD$39,わざ, 0) - 1)</f>
        <v>-1</v>
      </c>
    </row>
    <row r="40" spans="1:62" x14ac:dyDescent="0.55000000000000004">
      <c r="A40">
        <f>IF(ISBLANK(card_database!$A$40),-1,card_database!$A$40)</f>
        <v>34</v>
      </c>
      <c r="B40" t="str">
        <f>IF(ISBLANK(card_database!$B$40),-1,card_database!$B$40)</f>
        <v>ミラージュ</v>
      </c>
      <c r="C40" t="str">
        <f>IF(ISBLANK(card_database!$C$40),-1,card_database!$C$40)</f>
        <v>手にする鏡から仲間を呼び出すことのできる鳥のけもの。</v>
      </c>
      <c r="D40">
        <f>IF(ISBLANK(card_database!$D$40),-1,card_database!$D$40)</f>
        <v>34</v>
      </c>
      <c r="E40">
        <f>IF(ISBLANK(card_database!$E$40),-1,MATCH(card_database!$E$40,タイプ, 0) - 1)</f>
        <v>-1</v>
      </c>
      <c r="F40">
        <f>IF(ISBLANK(card_database!$F$40),-1,MATCH(card_database!$F$40,タイプ詳細, 0) - 1)</f>
        <v>-1</v>
      </c>
      <c r="G40">
        <f>IF(ISBLANK(card_database!$G$40),-1,card_database!$G$40)</f>
        <v>-1</v>
      </c>
      <c r="H40">
        <f>IF(ISBLANK(card_database!$H$40),-1,card_database!$H$40)</f>
        <v>-1</v>
      </c>
      <c r="I40">
        <f>IF(ISBLANK(card_database!$I$40),-1,MATCH(card_database!$I$40,属性, 0) - 1)</f>
        <v>-1</v>
      </c>
      <c r="J40">
        <f>IF(ISBLANK(card_database!$J$40),-1,MATCH(card_database!$J$40,種族, 0) - 1)</f>
        <v>-1</v>
      </c>
      <c r="K40">
        <f>IF(ISBLANK(card_database!$K$40),-1,card_database!$K$40)</f>
        <v>-1</v>
      </c>
      <c r="L40">
        <f>IF(ISBLANK(card_database!$L$40),-1,card_database!$L$40)</f>
        <v>-1</v>
      </c>
      <c r="M40">
        <f>IF(ISBLANK(card_database!$M$40),-1,card_database!$M$40)</f>
        <v>-1</v>
      </c>
      <c r="N40">
        <f>IF(ISBLANK(card_database!$N$40),-1,card_database!$N$40)</f>
        <v>-1</v>
      </c>
      <c r="O40">
        <f>IF(ISBLANK(card_database!$O$40),-1,card_database!$O$40)</f>
        <v>-1</v>
      </c>
      <c r="P40">
        <f>IF(ISBLANK(card_database!$P$40),-1,MATCH(card_database!$P$40,条件, 0) - 1)</f>
        <v>-1</v>
      </c>
      <c r="Q40">
        <f>IF(ISBLANK(card_database!$Q$40),-1,MATCH(card_database!$Q$40,条件, 0) - 1)</f>
        <v>-1</v>
      </c>
      <c r="R40">
        <f>IF(ISBLANK(card_database!$R$40),-1,card_database!$R$40)</f>
        <v>-1</v>
      </c>
      <c r="S40">
        <f>IF(ISBLANK(card_database!$S$40),-1,card_database!$S$40)</f>
        <v>-1</v>
      </c>
      <c r="T40">
        <f>IF(ISBLANK(card_database!$T$40),-1,MATCH(card_database!$T$40,効果, 0) - 1)</f>
        <v>-1</v>
      </c>
      <c r="U40">
        <f>IF(ISBLANK(card_database!$U$40),-1,card_database!$U$40)</f>
        <v>-1</v>
      </c>
      <c r="V40">
        <f>IF(ISBLANK(card_database!$V$40),-1,card_database!$V$40)</f>
        <v>-1</v>
      </c>
      <c r="W40">
        <f>IF(ISBLANK(card_database!$W$40),-1,MATCH(card_database!$W$40,条件, 0) - 1)</f>
        <v>-1</v>
      </c>
      <c r="X40">
        <f>IF(ISBLANK(card_database!$X$40),-1,card_database!$X$40)</f>
        <v>-1</v>
      </c>
      <c r="Y40">
        <f>IF(ISBLANK(card_database!$Y$40),-1,card_database!$Y$40)</f>
        <v>-1</v>
      </c>
      <c r="Z40">
        <f>IF(ISBLANK(card_database!$Z$40),-1,MATCH(card_database!$Z$40,効果, 0) - 1)</f>
        <v>-1</v>
      </c>
      <c r="AA40">
        <f>IF(ISBLANK(card_database!$AA$40),-1,card_database!$AA$40)</f>
        <v>-1</v>
      </c>
      <c r="AB40">
        <f>IF(ISBLANK(card_database!$AB$40),-1,card_database!$AB$40)</f>
        <v>-1</v>
      </c>
      <c r="AC40">
        <f>IF(ISBLANK(card_database!$AC$40),-1,MATCH(card_database!$AC$40,条件, 0) - 1)</f>
        <v>-1</v>
      </c>
      <c r="AD40">
        <f>IF(ISBLANK(card_database!$AD$40),-1,card_database!$AD$40)</f>
        <v>-1</v>
      </c>
      <c r="AE40">
        <f>IF(ISBLANK(card_database!$AE$40),-1,card_database!$AE$40)</f>
        <v>-1</v>
      </c>
      <c r="AF40">
        <f>IF(ISBLANK(card_database!$AF$40),-1,MATCH(card_database!$AF$40,効果, 0) - 1)</f>
        <v>-1</v>
      </c>
      <c r="AG40">
        <f>IF(ISBLANK(card_database!$AG$40),-1,card_database!$AG$40)</f>
        <v>-1</v>
      </c>
      <c r="AH40">
        <f>IF(ISBLANK(card_database!$AH$40),-1,card_database!$AH$40)</f>
        <v>-1</v>
      </c>
      <c r="AI40">
        <f>IF(ISBLANK(card_database!$AI$40),-1,MATCH(card_database!$AI$40,条件, 0) - 1)</f>
        <v>-1</v>
      </c>
      <c r="AJ40">
        <f>IF(ISBLANK(card_database!$AJ$40),-1,card_database!$AJ$40)</f>
        <v>-1</v>
      </c>
      <c r="AK40">
        <f>IF(ISBLANK(card_database!$AK$40),-1,card_database!$AK$40)</f>
        <v>-1</v>
      </c>
      <c r="AL40">
        <f>IF(ISBLANK(card_database!$AL$40),-1,MATCH(card_database!$AL$40,わざ, 0) - 1)</f>
        <v>-1</v>
      </c>
      <c r="AM40">
        <f>IF(ISBLANK(card_database!$AM$40),-1,card_database!$AM$40)</f>
        <v>-1</v>
      </c>
      <c r="AN40">
        <f>IF(ISBLANK(card_database!$AN$40),-1,card_database!$AN$40)</f>
        <v>-1</v>
      </c>
      <c r="AO40">
        <f>IF(ISBLANK(card_database!$AO$40),-1,MATCH(card_database!$AO$40,条件, 0) - 1)</f>
        <v>-1</v>
      </c>
      <c r="AP40">
        <f>IF(ISBLANK(card_database!$AP$40),-1,card_database!$AP$40)</f>
        <v>-1</v>
      </c>
      <c r="AQ40">
        <f>IF(ISBLANK(card_database!$AQ$40),-1,card_database!$AQ$40)</f>
        <v>-1</v>
      </c>
      <c r="AR40">
        <f>IF(ISBLANK(card_database!$AR$40),-1,MATCH(card_database!$AR$40,わざ, 0) - 1)</f>
        <v>-1</v>
      </c>
      <c r="AS40">
        <f>IF(ISBLANK(card_database!$AS$40),-1,card_database!$AS$40)</f>
        <v>-1</v>
      </c>
      <c r="AT40">
        <f>IF(ISBLANK(card_database!$AT$40),-1,card_database!$AT$40)</f>
        <v>-1</v>
      </c>
      <c r="AU40">
        <f>IF(ISBLANK(card_database!$AU$40),-1,MATCH(card_database!$AU$40,条件, 0) - 1)</f>
        <v>-1</v>
      </c>
      <c r="AV40">
        <f>IF(ISBLANK(card_database!$AV$40),-1,card_database!$AV$40)</f>
        <v>-1</v>
      </c>
      <c r="AW40">
        <f>IF(ISBLANK(card_database!$AW$40),-1,card_database!$AW$40)</f>
        <v>-1</v>
      </c>
      <c r="AX40">
        <f>IF(ISBLANK(card_database!$AX$40),-1,MATCH(card_database!$AX$40,わざ, 0) - 1)</f>
        <v>-1</v>
      </c>
      <c r="AY40">
        <f>IF(ISBLANK(card_database!$AY$40),-1,card_database!$AY$40)</f>
        <v>-1</v>
      </c>
      <c r="AZ40">
        <f>IF(ISBLANK(card_database!$AZ$40),-1,card_database!$AZ$40)</f>
        <v>-1</v>
      </c>
      <c r="BA40">
        <f>IF(ISBLANK(card_database!$BA$40),-1,MATCH(card_database!$BA$40,条件, 0) - 1)</f>
        <v>-1</v>
      </c>
      <c r="BB40">
        <f>IF(ISBLANK(card_database!$BB$40),-1,card_database!$BB$40)</f>
        <v>-1</v>
      </c>
      <c r="BC40">
        <f>IF(ISBLANK(card_database!$BC$40),-1,card_database!$BC$40)</f>
        <v>-1</v>
      </c>
      <c r="BD40">
        <f>IF(ISBLANK(card_database!$BD$40),-1,MATCH(card_database!$BD$40,わざ, 0) - 1)</f>
        <v>-1</v>
      </c>
      <c r="BE40">
        <f>IF(ISBLANK(card_database!$BE$40),-1,card_database!$BE$40)</f>
        <v>-1</v>
      </c>
      <c r="BF40">
        <f>IF(ISBLANK(card_database!$BF$40),-1,card_database!$BF$40)</f>
        <v>-1</v>
      </c>
      <c r="BG40">
        <f>IF(ISBLANK(card_database!$BG$40),-1,card_database!$BG$40)</f>
        <v>-1</v>
      </c>
      <c r="BH40">
        <f>IF(ISBLANK(card_database!$BB$40),-1,card_database!$BB$40)</f>
        <v>-1</v>
      </c>
      <c r="BI40">
        <f>IF(ISBLANK(card_database!$BC$40),-1,card_database!$BC$40)</f>
        <v>-1</v>
      </c>
      <c r="BJ40">
        <f>IF(ISBLANK(card_database!$BD$40),-1,MATCH(card_database!$BD$40,わざ, 0) - 1)</f>
        <v>-1</v>
      </c>
    </row>
    <row r="41" spans="1:62" x14ac:dyDescent="0.55000000000000004">
      <c r="A41">
        <f>IF(ISBLANK(card_database!$A$41),-1,card_database!$A$41)</f>
        <v>35</v>
      </c>
      <c r="B41" t="str">
        <f>IF(ISBLANK(card_database!$B$41),-1,card_database!$B$41)</f>
        <v>モンスター・エッグ</v>
      </c>
      <c r="C41" t="str">
        <f>IF(ISBLANK(card_database!$C$41),-1,card_database!$C$41)</f>
        <v>卵のカラに身を包んだ謎の戦士。カラを飛ばして攻撃する。</v>
      </c>
      <c r="D41">
        <f>IF(ISBLANK(card_database!$D$41),-1,card_database!$D$41)</f>
        <v>35</v>
      </c>
      <c r="E41">
        <f>IF(ISBLANK(card_database!$E$41),-1,MATCH(card_database!$E$41,タイプ, 0) - 1)</f>
        <v>-1</v>
      </c>
      <c r="F41">
        <f>IF(ISBLANK(card_database!$F$41),-1,MATCH(card_database!$F$41,タイプ詳細, 0) - 1)</f>
        <v>-1</v>
      </c>
      <c r="G41">
        <f>IF(ISBLANK(card_database!$G$41),-1,card_database!$G$41)</f>
        <v>-1</v>
      </c>
      <c r="H41">
        <f>IF(ISBLANK(card_database!$H$41),-1,card_database!$H$41)</f>
        <v>-1</v>
      </c>
      <c r="I41">
        <f>IF(ISBLANK(card_database!$I$41),-1,MATCH(card_database!$I$41,属性, 0) - 1)</f>
        <v>-1</v>
      </c>
      <c r="J41">
        <f>IF(ISBLANK(card_database!$J$41),-1,MATCH(card_database!$J$41,種族, 0) - 1)</f>
        <v>-1</v>
      </c>
      <c r="K41">
        <f>IF(ISBLANK(card_database!$K$41),-1,card_database!$K$41)</f>
        <v>-1</v>
      </c>
      <c r="L41">
        <f>IF(ISBLANK(card_database!$L$41),-1,card_database!$L$41)</f>
        <v>-1</v>
      </c>
      <c r="M41">
        <f>IF(ISBLANK(card_database!$M$41),-1,card_database!$M$41)</f>
        <v>-1</v>
      </c>
      <c r="N41">
        <f>IF(ISBLANK(card_database!$N$41),-1,card_database!$N$41)</f>
        <v>-1</v>
      </c>
      <c r="O41">
        <f>IF(ISBLANK(card_database!$O$41),-1,card_database!$O$41)</f>
        <v>-1</v>
      </c>
      <c r="P41">
        <f>IF(ISBLANK(card_database!$P$41),-1,MATCH(card_database!$P$41,条件, 0) - 1)</f>
        <v>-1</v>
      </c>
      <c r="Q41">
        <f>IF(ISBLANK(card_database!$Q$41),-1,MATCH(card_database!$Q$41,条件, 0) - 1)</f>
        <v>-1</v>
      </c>
      <c r="R41">
        <f>IF(ISBLANK(card_database!$R$41),-1,card_database!$R$41)</f>
        <v>-1</v>
      </c>
      <c r="S41">
        <f>IF(ISBLANK(card_database!$S$41),-1,card_database!$S$41)</f>
        <v>-1</v>
      </c>
      <c r="T41">
        <f>IF(ISBLANK(card_database!$T$41),-1,MATCH(card_database!$T$41,効果, 0) - 1)</f>
        <v>-1</v>
      </c>
      <c r="U41">
        <f>IF(ISBLANK(card_database!$U$41),-1,card_database!$U$41)</f>
        <v>-1</v>
      </c>
      <c r="V41">
        <f>IF(ISBLANK(card_database!$V$41),-1,card_database!$V$41)</f>
        <v>-1</v>
      </c>
      <c r="W41">
        <f>IF(ISBLANK(card_database!$W$41),-1,MATCH(card_database!$W$41,条件, 0) - 1)</f>
        <v>-1</v>
      </c>
      <c r="X41">
        <f>IF(ISBLANK(card_database!$X$41),-1,card_database!$X$41)</f>
        <v>-1</v>
      </c>
      <c r="Y41">
        <f>IF(ISBLANK(card_database!$Y$41),-1,card_database!$Y$41)</f>
        <v>-1</v>
      </c>
      <c r="Z41">
        <f>IF(ISBLANK(card_database!$Z$41),-1,MATCH(card_database!$Z$41,効果, 0) - 1)</f>
        <v>-1</v>
      </c>
      <c r="AA41">
        <f>IF(ISBLANK(card_database!$AA$41),-1,card_database!$AA$41)</f>
        <v>-1</v>
      </c>
      <c r="AB41">
        <f>IF(ISBLANK(card_database!$AB$41),-1,card_database!$AB$41)</f>
        <v>-1</v>
      </c>
      <c r="AC41">
        <f>IF(ISBLANK(card_database!$AC$41),-1,MATCH(card_database!$AC$41,条件, 0) - 1)</f>
        <v>-1</v>
      </c>
      <c r="AD41">
        <f>IF(ISBLANK(card_database!$AD$41),-1,card_database!$AD$41)</f>
        <v>-1</v>
      </c>
      <c r="AE41">
        <f>IF(ISBLANK(card_database!$AE$41),-1,card_database!$AE$41)</f>
        <v>-1</v>
      </c>
      <c r="AF41">
        <f>IF(ISBLANK(card_database!$AF$41),-1,MATCH(card_database!$AF$41,効果, 0) - 1)</f>
        <v>-1</v>
      </c>
      <c r="AG41">
        <f>IF(ISBLANK(card_database!$AG$41),-1,card_database!$AG$41)</f>
        <v>-1</v>
      </c>
      <c r="AH41">
        <f>IF(ISBLANK(card_database!$AH$41),-1,card_database!$AH$41)</f>
        <v>-1</v>
      </c>
      <c r="AI41">
        <f>IF(ISBLANK(card_database!$AI$41),-1,MATCH(card_database!$AI$41,条件, 0) - 1)</f>
        <v>-1</v>
      </c>
      <c r="AJ41">
        <f>IF(ISBLANK(card_database!$AJ$41),-1,card_database!$AJ$41)</f>
        <v>-1</v>
      </c>
      <c r="AK41">
        <f>IF(ISBLANK(card_database!$AK$41),-1,card_database!$AK$41)</f>
        <v>-1</v>
      </c>
      <c r="AL41">
        <f>IF(ISBLANK(card_database!$AL$41),-1,MATCH(card_database!$AL$41,わざ, 0) - 1)</f>
        <v>-1</v>
      </c>
      <c r="AM41">
        <f>IF(ISBLANK(card_database!$AM$41),-1,card_database!$AM$41)</f>
        <v>-1</v>
      </c>
      <c r="AN41">
        <f>IF(ISBLANK(card_database!$AN$41),-1,card_database!$AN$41)</f>
        <v>-1</v>
      </c>
      <c r="AO41">
        <f>IF(ISBLANK(card_database!$AO$41),-1,MATCH(card_database!$AO$41,条件, 0) - 1)</f>
        <v>-1</v>
      </c>
      <c r="AP41">
        <f>IF(ISBLANK(card_database!$AP$41),-1,card_database!$AP$41)</f>
        <v>-1</v>
      </c>
      <c r="AQ41">
        <f>IF(ISBLANK(card_database!$AQ$41),-1,card_database!$AQ$41)</f>
        <v>-1</v>
      </c>
      <c r="AR41">
        <f>IF(ISBLANK(card_database!$AR$41),-1,MATCH(card_database!$AR$41,わざ, 0) - 1)</f>
        <v>-1</v>
      </c>
      <c r="AS41">
        <f>IF(ISBLANK(card_database!$AS$41),-1,card_database!$AS$41)</f>
        <v>-1</v>
      </c>
      <c r="AT41">
        <f>IF(ISBLANK(card_database!$AT$41),-1,card_database!$AT$41)</f>
        <v>-1</v>
      </c>
      <c r="AU41">
        <f>IF(ISBLANK(card_database!$AU$41),-1,MATCH(card_database!$AU$41,条件, 0) - 1)</f>
        <v>-1</v>
      </c>
      <c r="AV41">
        <f>IF(ISBLANK(card_database!$AV$41),-1,card_database!$AV$41)</f>
        <v>-1</v>
      </c>
      <c r="AW41">
        <f>IF(ISBLANK(card_database!$AW$41),-1,card_database!$AW$41)</f>
        <v>-1</v>
      </c>
      <c r="AX41">
        <f>IF(ISBLANK(card_database!$AX$41),-1,MATCH(card_database!$AX$41,わざ, 0) - 1)</f>
        <v>-1</v>
      </c>
      <c r="AY41">
        <f>IF(ISBLANK(card_database!$AY$41),-1,card_database!$AY$41)</f>
        <v>-1</v>
      </c>
      <c r="AZ41">
        <f>IF(ISBLANK(card_database!$AZ$41),-1,card_database!$AZ$41)</f>
        <v>-1</v>
      </c>
      <c r="BA41">
        <f>IF(ISBLANK(card_database!$BA$41),-1,MATCH(card_database!$BA$41,条件, 0) - 1)</f>
        <v>-1</v>
      </c>
      <c r="BB41">
        <f>IF(ISBLANK(card_database!$BB$41),-1,card_database!$BB$41)</f>
        <v>-1</v>
      </c>
      <c r="BC41">
        <f>IF(ISBLANK(card_database!$BC$41),-1,card_database!$BC$41)</f>
        <v>-1</v>
      </c>
      <c r="BD41">
        <f>IF(ISBLANK(card_database!$BD$41),-1,MATCH(card_database!$BD$41,わざ, 0) - 1)</f>
        <v>-1</v>
      </c>
      <c r="BE41">
        <f>IF(ISBLANK(card_database!$BE$41),-1,card_database!$BE$41)</f>
        <v>-1</v>
      </c>
      <c r="BF41">
        <f>IF(ISBLANK(card_database!$BF$41),-1,card_database!$BF$41)</f>
        <v>-1</v>
      </c>
      <c r="BG41">
        <f>IF(ISBLANK(card_database!$BG$41),-1,card_database!$BG$41)</f>
        <v>-1</v>
      </c>
      <c r="BH41">
        <f>IF(ISBLANK(card_database!$BB$41),-1,card_database!$BB$41)</f>
        <v>-1</v>
      </c>
      <c r="BI41">
        <f>IF(ISBLANK(card_database!$BC$41),-1,card_database!$BC$41)</f>
        <v>-1</v>
      </c>
      <c r="BJ41">
        <f>IF(ISBLANK(card_database!$BD$41),-1,MATCH(card_database!$BD$41,わざ, 0) - 1)</f>
        <v>-1</v>
      </c>
    </row>
    <row r="42" spans="1:62" x14ac:dyDescent="0.55000000000000004">
      <c r="A42">
        <f>IF(ISBLANK(card_database!$A$42),-1,card_database!$A$42)</f>
        <v>36</v>
      </c>
      <c r="B42" t="str">
        <f>IF(ISBLANK(card_database!$B$42),-1,card_database!$B$42)</f>
        <v>モンスタートル</v>
      </c>
      <c r="C42" t="str">
        <f>IF(ISBLANK(card_database!$C$42),-1,card_database!$C$42)</f>
        <v>トゲのついたこうらを身につけたカメ。とても凶暴で人になつかない。</v>
      </c>
      <c r="D42">
        <f>IF(ISBLANK(card_database!$D$42),-1,card_database!$D$42)</f>
        <v>36</v>
      </c>
      <c r="E42">
        <f>IF(ISBLANK(card_database!$E$42),-1,MATCH(card_database!$E$42,タイプ, 0) - 1)</f>
        <v>-1</v>
      </c>
      <c r="F42">
        <f>IF(ISBLANK(card_database!$F$42),-1,MATCH(card_database!$F$42,タイプ詳細, 0) - 1)</f>
        <v>-1</v>
      </c>
      <c r="G42">
        <f>IF(ISBLANK(card_database!$G$42),-1,card_database!$G$42)</f>
        <v>-1</v>
      </c>
      <c r="H42">
        <f>IF(ISBLANK(card_database!$H$42),-1,card_database!$H$42)</f>
        <v>-1</v>
      </c>
      <c r="I42">
        <f>IF(ISBLANK(card_database!$I$42),-1,MATCH(card_database!$I$42,属性, 0) - 1)</f>
        <v>-1</v>
      </c>
      <c r="J42">
        <f>IF(ISBLANK(card_database!$J$42),-1,MATCH(card_database!$J$42,種族, 0) - 1)</f>
        <v>-1</v>
      </c>
      <c r="K42">
        <f>IF(ISBLANK(card_database!$K$42),-1,card_database!$K$42)</f>
        <v>-1</v>
      </c>
      <c r="L42">
        <f>IF(ISBLANK(card_database!$L$42),-1,card_database!$L$42)</f>
        <v>-1</v>
      </c>
      <c r="M42">
        <f>IF(ISBLANK(card_database!$M$42),-1,card_database!$M$42)</f>
        <v>-1</v>
      </c>
      <c r="N42">
        <f>IF(ISBLANK(card_database!$N$42),-1,card_database!$N$42)</f>
        <v>-1</v>
      </c>
      <c r="O42">
        <f>IF(ISBLANK(card_database!$O$42),-1,card_database!$O$42)</f>
        <v>-1</v>
      </c>
      <c r="P42">
        <f>IF(ISBLANK(card_database!$P$42),-1,MATCH(card_database!$P$42,条件, 0) - 1)</f>
        <v>-1</v>
      </c>
      <c r="Q42">
        <f>IF(ISBLANK(card_database!$Q$42),-1,MATCH(card_database!$Q$42,条件, 0) - 1)</f>
        <v>-1</v>
      </c>
      <c r="R42">
        <f>IF(ISBLANK(card_database!$R$42),-1,card_database!$R$42)</f>
        <v>-1</v>
      </c>
      <c r="S42">
        <f>IF(ISBLANK(card_database!$S$42),-1,card_database!$S$42)</f>
        <v>-1</v>
      </c>
      <c r="T42">
        <f>IF(ISBLANK(card_database!$T$42),-1,MATCH(card_database!$T$42,効果, 0) - 1)</f>
        <v>-1</v>
      </c>
      <c r="U42">
        <f>IF(ISBLANK(card_database!$U$42),-1,card_database!$U$42)</f>
        <v>-1</v>
      </c>
      <c r="V42">
        <f>IF(ISBLANK(card_database!$V$42),-1,card_database!$V$42)</f>
        <v>-1</v>
      </c>
      <c r="W42">
        <f>IF(ISBLANK(card_database!$W$42),-1,MATCH(card_database!$W$42,条件, 0) - 1)</f>
        <v>-1</v>
      </c>
      <c r="X42">
        <f>IF(ISBLANK(card_database!$X$42),-1,card_database!$X$42)</f>
        <v>-1</v>
      </c>
      <c r="Y42">
        <f>IF(ISBLANK(card_database!$Y$42),-1,card_database!$Y$42)</f>
        <v>-1</v>
      </c>
      <c r="Z42">
        <f>IF(ISBLANK(card_database!$Z$42),-1,MATCH(card_database!$Z$42,効果, 0) - 1)</f>
        <v>-1</v>
      </c>
      <c r="AA42">
        <f>IF(ISBLANK(card_database!$AA$42),-1,card_database!$AA$42)</f>
        <v>-1</v>
      </c>
      <c r="AB42">
        <f>IF(ISBLANK(card_database!$AB$42),-1,card_database!$AB$42)</f>
        <v>-1</v>
      </c>
      <c r="AC42">
        <f>IF(ISBLANK(card_database!$AC$42),-1,MATCH(card_database!$AC$42,条件, 0) - 1)</f>
        <v>-1</v>
      </c>
      <c r="AD42">
        <f>IF(ISBLANK(card_database!$AD$42),-1,card_database!$AD$42)</f>
        <v>-1</v>
      </c>
      <c r="AE42">
        <f>IF(ISBLANK(card_database!$AE$42),-1,card_database!$AE$42)</f>
        <v>-1</v>
      </c>
      <c r="AF42">
        <f>IF(ISBLANK(card_database!$AF$42),-1,MATCH(card_database!$AF$42,効果, 0) - 1)</f>
        <v>-1</v>
      </c>
      <c r="AG42">
        <f>IF(ISBLANK(card_database!$AG$42),-1,card_database!$AG$42)</f>
        <v>-1</v>
      </c>
      <c r="AH42">
        <f>IF(ISBLANK(card_database!$AH$42),-1,card_database!$AH$42)</f>
        <v>-1</v>
      </c>
      <c r="AI42">
        <f>IF(ISBLANK(card_database!$AI$42),-1,MATCH(card_database!$AI$42,条件, 0) - 1)</f>
        <v>-1</v>
      </c>
      <c r="AJ42">
        <f>IF(ISBLANK(card_database!$AJ$42),-1,card_database!$AJ$42)</f>
        <v>-1</v>
      </c>
      <c r="AK42">
        <f>IF(ISBLANK(card_database!$AK$42),-1,card_database!$AK$42)</f>
        <v>-1</v>
      </c>
      <c r="AL42">
        <f>IF(ISBLANK(card_database!$AL$42),-1,MATCH(card_database!$AL$42,わざ, 0) - 1)</f>
        <v>-1</v>
      </c>
      <c r="AM42">
        <f>IF(ISBLANK(card_database!$AM$42),-1,card_database!$AM$42)</f>
        <v>-1</v>
      </c>
      <c r="AN42">
        <f>IF(ISBLANK(card_database!$AN$42),-1,card_database!$AN$42)</f>
        <v>-1</v>
      </c>
      <c r="AO42">
        <f>IF(ISBLANK(card_database!$AO$42),-1,MATCH(card_database!$AO$42,条件, 0) - 1)</f>
        <v>-1</v>
      </c>
      <c r="AP42">
        <f>IF(ISBLANK(card_database!$AP$42),-1,card_database!$AP$42)</f>
        <v>-1</v>
      </c>
      <c r="AQ42">
        <f>IF(ISBLANK(card_database!$AQ$42),-1,card_database!$AQ$42)</f>
        <v>-1</v>
      </c>
      <c r="AR42">
        <f>IF(ISBLANK(card_database!$AR$42),-1,MATCH(card_database!$AR$42,わざ, 0) - 1)</f>
        <v>-1</v>
      </c>
      <c r="AS42">
        <f>IF(ISBLANK(card_database!$AS$42),-1,card_database!$AS$42)</f>
        <v>-1</v>
      </c>
      <c r="AT42">
        <f>IF(ISBLANK(card_database!$AT$42),-1,card_database!$AT$42)</f>
        <v>-1</v>
      </c>
      <c r="AU42">
        <f>IF(ISBLANK(card_database!$AU$42),-1,MATCH(card_database!$AU$42,条件, 0) - 1)</f>
        <v>-1</v>
      </c>
      <c r="AV42">
        <f>IF(ISBLANK(card_database!$AV$42),-1,card_database!$AV$42)</f>
        <v>-1</v>
      </c>
      <c r="AW42">
        <f>IF(ISBLANK(card_database!$AW$42),-1,card_database!$AW$42)</f>
        <v>-1</v>
      </c>
      <c r="AX42">
        <f>IF(ISBLANK(card_database!$AX$42),-1,MATCH(card_database!$AX$42,わざ, 0) - 1)</f>
        <v>-1</v>
      </c>
      <c r="AY42">
        <f>IF(ISBLANK(card_database!$AY$42),-1,card_database!$AY$42)</f>
        <v>-1</v>
      </c>
      <c r="AZ42">
        <f>IF(ISBLANK(card_database!$AZ$42),-1,card_database!$AZ$42)</f>
        <v>-1</v>
      </c>
      <c r="BA42">
        <f>IF(ISBLANK(card_database!$BA$42),-1,MATCH(card_database!$BA$42,条件, 0) - 1)</f>
        <v>-1</v>
      </c>
      <c r="BB42">
        <f>IF(ISBLANK(card_database!$BB$42),-1,card_database!$BB$42)</f>
        <v>-1</v>
      </c>
      <c r="BC42">
        <f>IF(ISBLANK(card_database!$BC$42),-1,card_database!$BC$42)</f>
        <v>-1</v>
      </c>
      <c r="BD42">
        <f>IF(ISBLANK(card_database!$BD$42),-1,MATCH(card_database!$BD$42,わざ, 0) - 1)</f>
        <v>-1</v>
      </c>
      <c r="BE42">
        <f>IF(ISBLANK(card_database!$BE$42),-1,card_database!$BE$42)</f>
        <v>-1</v>
      </c>
      <c r="BF42">
        <f>IF(ISBLANK(card_database!$BF$42),-1,card_database!$BF$42)</f>
        <v>-1</v>
      </c>
      <c r="BG42">
        <f>IF(ISBLANK(card_database!$BG$42),-1,card_database!$BG$42)</f>
        <v>-1</v>
      </c>
      <c r="BH42">
        <f>IF(ISBLANK(card_database!$BB$42),-1,card_database!$BB$42)</f>
        <v>-1</v>
      </c>
      <c r="BI42">
        <f>IF(ISBLANK(card_database!$BC$42),-1,card_database!$BC$42)</f>
        <v>-1</v>
      </c>
      <c r="BJ42">
        <f>IF(ISBLANK(card_database!$BD$42),-1,MATCH(card_database!$BD$42,わざ, 0) - 1)</f>
        <v>-1</v>
      </c>
    </row>
    <row r="43" spans="1:62" x14ac:dyDescent="0.55000000000000004">
      <c r="A43">
        <f>IF(ISBLANK(card_database!$A$43),-1,card_database!$A$43)</f>
        <v>37</v>
      </c>
      <c r="B43" t="str">
        <f>IF(ISBLANK(card_database!$B$43),-1,card_database!$B$43)</f>
        <v>緑樹の霊王</v>
      </c>
      <c r="C43" t="str">
        <f>IF(ISBLANK(card_database!$C$43),-1,card_database!$C$43)</f>
        <v>青々と生い茂る木に囲まれて暮らす。森を治める若き王。</v>
      </c>
      <c r="D43">
        <f>IF(ISBLANK(card_database!$D$43),-1,card_database!$D$43)</f>
        <v>37</v>
      </c>
      <c r="E43">
        <f>IF(ISBLANK(card_database!$E$43),-1,MATCH(card_database!$E$43,タイプ, 0) - 1)</f>
        <v>-1</v>
      </c>
      <c r="F43">
        <f>IF(ISBLANK(card_database!$F$43),-1,MATCH(card_database!$F$43,タイプ詳細, 0) - 1)</f>
        <v>-1</v>
      </c>
      <c r="G43">
        <f>IF(ISBLANK(card_database!$G$43),-1,card_database!$G$43)</f>
        <v>-1</v>
      </c>
      <c r="H43">
        <f>IF(ISBLANK(card_database!$H$43),-1,card_database!$H$43)</f>
        <v>-1</v>
      </c>
      <c r="I43">
        <f>IF(ISBLANK(card_database!$I$43),-1,MATCH(card_database!$I$43,属性, 0) - 1)</f>
        <v>-1</v>
      </c>
      <c r="J43">
        <f>IF(ISBLANK(card_database!$J$43),-1,MATCH(card_database!$J$43,種族, 0) - 1)</f>
        <v>-1</v>
      </c>
      <c r="K43">
        <f>IF(ISBLANK(card_database!$K$43),-1,card_database!$K$43)</f>
        <v>-1</v>
      </c>
      <c r="L43">
        <f>IF(ISBLANK(card_database!$L$43),-1,card_database!$L$43)</f>
        <v>-1</v>
      </c>
      <c r="M43">
        <f>IF(ISBLANK(card_database!$M$43),-1,card_database!$M$43)</f>
        <v>-1</v>
      </c>
      <c r="N43">
        <f>IF(ISBLANK(card_database!$N$43),-1,card_database!$N$43)</f>
        <v>-1</v>
      </c>
      <c r="O43">
        <f>IF(ISBLANK(card_database!$O$43),-1,card_database!$O$43)</f>
        <v>-1</v>
      </c>
      <c r="P43">
        <f>IF(ISBLANK(card_database!$P$43),-1,MATCH(card_database!$P$43,条件, 0) - 1)</f>
        <v>-1</v>
      </c>
      <c r="Q43">
        <f>IF(ISBLANK(card_database!$Q$43),-1,MATCH(card_database!$Q$43,条件, 0) - 1)</f>
        <v>-1</v>
      </c>
      <c r="R43">
        <f>IF(ISBLANK(card_database!$R$43),-1,card_database!$R$43)</f>
        <v>-1</v>
      </c>
      <c r="S43">
        <f>IF(ISBLANK(card_database!$S$43),-1,card_database!$S$43)</f>
        <v>-1</v>
      </c>
      <c r="T43">
        <f>IF(ISBLANK(card_database!$T$43),-1,MATCH(card_database!$T$43,効果, 0) - 1)</f>
        <v>-1</v>
      </c>
      <c r="U43">
        <f>IF(ISBLANK(card_database!$U$43),-1,card_database!$U$43)</f>
        <v>-1</v>
      </c>
      <c r="V43">
        <f>IF(ISBLANK(card_database!$V$43),-1,card_database!$V$43)</f>
        <v>-1</v>
      </c>
      <c r="W43">
        <f>IF(ISBLANK(card_database!$W$43),-1,MATCH(card_database!$W$43,条件, 0) - 1)</f>
        <v>-1</v>
      </c>
      <c r="X43">
        <f>IF(ISBLANK(card_database!$X$43),-1,card_database!$X$43)</f>
        <v>-1</v>
      </c>
      <c r="Y43">
        <f>IF(ISBLANK(card_database!$Y$43),-1,card_database!$Y$43)</f>
        <v>-1</v>
      </c>
      <c r="Z43">
        <f>IF(ISBLANK(card_database!$Z$43),-1,MATCH(card_database!$Z$43,効果, 0) - 1)</f>
        <v>-1</v>
      </c>
      <c r="AA43">
        <f>IF(ISBLANK(card_database!$AA$43),-1,card_database!$AA$43)</f>
        <v>-1</v>
      </c>
      <c r="AB43">
        <f>IF(ISBLANK(card_database!$AB$43),-1,card_database!$AB$43)</f>
        <v>-1</v>
      </c>
      <c r="AC43">
        <f>IF(ISBLANK(card_database!$AC$43),-1,MATCH(card_database!$AC$43,条件, 0) - 1)</f>
        <v>-1</v>
      </c>
      <c r="AD43">
        <f>IF(ISBLANK(card_database!$AD$43),-1,card_database!$AD$43)</f>
        <v>-1</v>
      </c>
      <c r="AE43">
        <f>IF(ISBLANK(card_database!$AE$43),-1,card_database!$AE$43)</f>
        <v>-1</v>
      </c>
      <c r="AF43">
        <f>IF(ISBLANK(card_database!$AF$43),-1,MATCH(card_database!$AF$43,効果, 0) - 1)</f>
        <v>-1</v>
      </c>
      <c r="AG43">
        <f>IF(ISBLANK(card_database!$AG$43),-1,card_database!$AG$43)</f>
        <v>-1</v>
      </c>
      <c r="AH43">
        <f>IF(ISBLANK(card_database!$AH$43),-1,card_database!$AH$43)</f>
        <v>-1</v>
      </c>
      <c r="AI43">
        <f>IF(ISBLANK(card_database!$AI$43),-1,MATCH(card_database!$AI$43,条件, 0) - 1)</f>
        <v>-1</v>
      </c>
      <c r="AJ43">
        <f>IF(ISBLANK(card_database!$AJ$43),-1,card_database!$AJ$43)</f>
        <v>-1</v>
      </c>
      <c r="AK43">
        <f>IF(ISBLANK(card_database!$AK$43),-1,card_database!$AK$43)</f>
        <v>-1</v>
      </c>
      <c r="AL43">
        <f>IF(ISBLANK(card_database!$AL$43),-1,MATCH(card_database!$AL$43,わざ, 0) - 1)</f>
        <v>-1</v>
      </c>
      <c r="AM43">
        <f>IF(ISBLANK(card_database!$AM$43),-1,card_database!$AM$43)</f>
        <v>-1</v>
      </c>
      <c r="AN43">
        <f>IF(ISBLANK(card_database!$AN$43),-1,card_database!$AN$43)</f>
        <v>-1</v>
      </c>
      <c r="AO43">
        <f>IF(ISBLANK(card_database!$AO$43),-1,MATCH(card_database!$AO$43,条件, 0) - 1)</f>
        <v>-1</v>
      </c>
      <c r="AP43">
        <f>IF(ISBLANK(card_database!$AP$43),-1,card_database!$AP$43)</f>
        <v>-1</v>
      </c>
      <c r="AQ43">
        <f>IF(ISBLANK(card_database!$AQ$43),-1,card_database!$AQ$43)</f>
        <v>-1</v>
      </c>
      <c r="AR43">
        <f>IF(ISBLANK(card_database!$AR$43),-1,MATCH(card_database!$AR$43,わざ, 0) - 1)</f>
        <v>-1</v>
      </c>
      <c r="AS43">
        <f>IF(ISBLANK(card_database!$AS$43),-1,card_database!$AS$43)</f>
        <v>-1</v>
      </c>
      <c r="AT43">
        <f>IF(ISBLANK(card_database!$AT$43),-1,card_database!$AT$43)</f>
        <v>-1</v>
      </c>
      <c r="AU43">
        <f>IF(ISBLANK(card_database!$AU$43),-1,MATCH(card_database!$AU$43,条件, 0) - 1)</f>
        <v>-1</v>
      </c>
      <c r="AV43">
        <f>IF(ISBLANK(card_database!$AV$43),-1,card_database!$AV$43)</f>
        <v>-1</v>
      </c>
      <c r="AW43">
        <f>IF(ISBLANK(card_database!$AW$43),-1,card_database!$AW$43)</f>
        <v>-1</v>
      </c>
      <c r="AX43">
        <f>IF(ISBLANK(card_database!$AX$43),-1,MATCH(card_database!$AX$43,わざ, 0) - 1)</f>
        <v>-1</v>
      </c>
      <c r="AY43">
        <f>IF(ISBLANK(card_database!$AY$43),-1,card_database!$AY$43)</f>
        <v>-1</v>
      </c>
      <c r="AZ43">
        <f>IF(ISBLANK(card_database!$AZ$43),-1,card_database!$AZ$43)</f>
        <v>-1</v>
      </c>
      <c r="BA43">
        <f>IF(ISBLANK(card_database!$BA$43),-1,MATCH(card_database!$BA$43,条件, 0) - 1)</f>
        <v>-1</v>
      </c>
      <c r="BB43">
        <f>IF(ISBLANK(card_database!$BB$43),-1,card_database!$BB$43)</f>
        <v>-1</v>
      </c>
      <c r="BC43">
        <f>IF(ISBLANK(card_database!$BC$43),-1,card_database!$BC$43)</f>
        <v>-1</v>
      </c>
      <c r="BD43">
        <f>IF(ISBLANK(card_database!$BD$43),-1,MATCH(card_database!$BD$43,わざ, 0) - 1)</f>
        <v>-1</v>
      </c>
      <c r="BE43">
        <f>IF(ISBLANK(card_database!$BE$43),-1,card_database!$BE$43)</f>
        <v>-1</v>
      </c>
      <c r="BF43">
        <f>IF(ISBLANK(card_database!$BF$43),-1,card_database!$BF$43)</f>
        <v>-1</v>
      </c>
      <c r="BG43">
        <f>IF(ISBLANK(card_database!$BG$43),-1,card_database!$BG$43)</f>
        <v>-1</v>
      </c>
      <c r="BH43">
        <f>IF(ISBLANK(card_database!$BB$43),-1,card_database!$BB$43)</f>
        <v>-1</v>
      </c>
      <c r="BI43">
        <f>IF(ISBLANK(card_database!$BC$43),-1,card_database!$BC$43)</f>
        <v>-1</v>
      </c>
      <c r="BJ43">
        <f>IF(ISBLANK(card_database!$BD$43),-1,MATCH(card_database!$BD$43,わざ, 0) - 1)</f>
        <v>-1</v>
      </c>
    </row>
    <row r="44" spans="1:62" x14ac:dyDescent="0.55000000000000004">
      <c r="A44">
        <f>IF(ISBLANK(card_database!$A$44),-1,card_database!$A$44)</f>
        <v>38</v>
      </c>
      <c r="B44" t="str">
        <f>IF(ISBLANK(card_database!$B$44),-1,card_database!$B$44)</f>
        <v>ルート・ウォーター</v>
      </c>
      <c r="C44" t="str">
        <f>IF(ISBLANK(card_database!$C$44),-1,card_database!$C$44)</f>
        <v>海にひそむ半魚人。暗黒の大津波を起こして攻撃する。</v>
      </c>
      <c r="D44">
        <f>IF(ISBLANK(card_database!$D$44),-1,card_database!$D$44)</f>
        <v>38</v>
      </c>
      <c r="E44">
        <f>IF(ISBLANK(card_database!$E$44),-1,MATCH(card_database!$E$44,タイプ, 0) - 1)</f>
        <v>-1</v>
      </c>
      <c r="F44">
        <f>IF(ISBLANK(card_database!$F$44),-1,MATCH(card_database!$F$44,タイプ詳細, 0) - 1)</f>
        <v>-1</v>
      </c>
      <c r="G44">
        <f>IF(ISBLANK(card_database!$G$44),-1,card_database!$G$44)</f>
        <v>-1</v>
      </c>
      <c r="H44">
        <f>IF(ISBLANK(card_database!$H$44),-1,card_database!$H$44)</f>
        <v>-1</v>
      </c>
      <c r="I44">
        <f>IF(ISBLANK(card_database!$I$44),-1,MATCH(card_database!$I$44,属性, 0) - 1)</f>
        <v>-1</v>
      </c>
      <c r="J44">
        <f>IF(ISBLANK(card_database!$J$44),-1,MATCH(card_database!$J$44,種族, 0) - 1)</f>
        <v>-1</v>
      </c>
      <c r="K44">
        <f>IF(ISBLANK(card_database!$K$44),-1,card_database!$K$44)</f>
        <v>-1</v>
      </c>
      <c r="L44">
        <f>IF(ISBLANK(card_database!$L$44),-1,card_database!$L$44)</f>
        <v>-1</v>
      </c>
      <c r="M44">
        <f>IF(ISBLANK(card_database!$M$44),-1,card_database!$M$44)</f>
        <v>-1</v>
      </c>
      <c r="N44">
        <f>IF(ISBLANK(card_database!$N$44),-1,card_database!$N$44)</f>
        <v>-1</v>
      </c>
      <c r="O44">
        <f>IF(ISBLANK(card_database!$O$44),-1,card_database!$O$44)</f>
        <v>-1</v>
      </c>
      <c r="P44">
        <f>IF(ISBLANK(card_database!$P$44),-1,MATCH(card_database!$P$44,条件, 0) - 1)</f>
        <v>-1</v>
      </c>
      <c r="Q44">
        <f>IF(ISBLANK(card_database!$Q$44),-1,MATCH(card_database!$Q$44,条件, 0) - 1)</f>
        <v>-1</v>
      </c>
      <c r="R44">
        <f>IF(ISBLANK(card_database!$R$44),-1,card_database!$R$44)</f>
        <v>-1</v>
      </c>
      <c r="S44">
        <f>IF(ISBLANK(card_database!$S$44),-1,card_database!$S$44)</f>
        <v>-1</v>
      </c>
      <c r="T44">
        <f>IF(ISBLANK(card_database!$T$44),-1,MATCH(card_database!$T$44,効果, 0) - 1)</f>
        <v>-1</v>
      </c>
      <c r="U44">
        <f>IF(ISBLANK(card_database!$U$44),-1,card_database!$U$44)</f>
        <v>-1</v>
      </c>
      <c r="V44">
        <f>IF(ISBLANK(card_database!$V$44),-1,card_database!$V$44)</f>
        <v>-1</v>
      </c>
      <c r="W44">
        <f>IF(ISBLANK(card_database!$W$44),-1,MATCH(card_database!$W$44,条件, 0) - 1)</f>
        <v>-1</v>
      </c>
      <c r="X44">
        <f>IF(ISBLANK(card_database!$X$44),-1,card_database!$X$44)</f>
        <v>-1</v>
      </c>
      <c r="Y44">
        <f>IF(ISBLANK(card_database!$Y$44),-1,card_database!$Y$44)</f>
        <v>-1</v>
      </c>
      <c r="Z44">
        <f>IF(ISBLANK(card_database!$Z$44),-1,MATCH(card_database!$Z$44,効果, 0) - 1)</f>
        <v>-1</v>
      </c>
      <c r="AA44">
        <f>IF(ISBLANK(card_database!$AA$44),-1,card_database!$AA$44)</f>
        <v>-1</v>
      </c>
      <c r="AB44">
        <f>IF(ISBLANK(card_database!$AB$44),-1,card_database!$AB$44)</f>
        <v>-1</v>
      </c>
      <c r="AC44">
        <f>IF(ISBLANK(card_database!$AC$44),-1,MATCH(card_database!$AC$44,条件, 0) - 1)</f>
        <v>-1</v>
      </c>
      <c r="AD44">
        <f>IF(ISBLANK(card_database!$AD$44),-1,card_database!$AD$44)</f>
        <v>-1</v>
      </c>
      <c r="AE44">
        <f>IF(ISBLANK(card_database!$AE$44),-1,card_database!$AE$44)</f>
        <v>-1</v>
      </c>
      <c r="AF44">
        <f>IF(ISBLANK(card_database!$AF$44),-1,MATCH(card_database!$AF$44,効果, 0) - 1)</f>
        <v>-1</v>
      </c>
      <c r="AG44">
        <f>IF(ISBLANK(card_database!$AG$44),-1,card_database!$AG$44)</f>
        <v>-1</v>
      </c>
      <c r="AH44">
        <f>IF(ISBLANK(card_database!$AH$44),-1,card_database!$AH$44)</f>
        <v>-1</v>
      </c>
      <c r="AI44">
        <f>IF(ISBLANK(card_database!$AI$44),-1,MATCH(card_database!$AI$44,条件, 0) - 1)</f>
        <v>-1</v>
      </c>
      <c r="AJ44">
        <f>IF(ISBLANK(card_database!$AJ$44),-1,card_database!$AJ$44)</f>
        <v>-1</v>
      </c>
      <c r="AK44">
        <f>IF(ISBLANK(card_database!$AK$44),-1,card_database!$AK$44)</f>
        <v>-1</v>
      </c>
      <c r="AL44">
        <f>IF(ISBLANK(card_database!$AL$44),-1,MATCH(card_database!$AL$44,わざ, 0) - 1)</f>
        <v>-1</v>
      </c>
      <c r="AM44">
        <f>IF(ISBLANK(card_database!$AM$44),-1,card_database!$AM$44)</f>
        <v>-1</v>
      </c>
      <c r="AN44">
        <f>IF(ISBLANK(card_database!$AN$44),-1,card_database!$AN$44)</f>
        <v>-1</v>
      </c>
      <c r="AO44">
        <f>IF(ISBLANK(card_database!$AO$44),-1,MATCH(card_database!$AO$44,条件, 0) - 1)</f>
        <v>-1</v>
      </c>
      <c r="AP44">
        <f>IF(ISBLANK(card_database!$AP$44),-1,card_database!$AP$44)</f>
        <v>-1</v>
      </c>
      <c r="AQ44">
        <f>IF(ISBLANK(card_database!$AQ$44),-1,card_database!$AQ$44)</f>
        <v>-1</v>
      </c>
      <c r="AR44">
        <f>IF(ISBLANK(card_database!$AR$44),-1,MATCH(card_database!$AR$44,わざ, 0) - 1)</f>
        <v>-1</v>
      </c>
      <c r="AS44">
        <f>IF(ISBLANK(card_database!$AS$44),-1,card_database!$AS$44)</f>
        <v>-1</v>
      </c>
      <c r="AT44">
        <f>IF(ISBLANK(card_database!$AT$44),-1,card_database!$AT$44)</f>
        <v>-1</v>
      </c>
      <c r="AU44">
        <f>IF(ISBLANK(card_database!$AU$44),-1,MATCH(card_database!$AU$44,条件, 0) - 1)</f>
        <v>-1</v>
      </c>
      <c r="AV44">
        <f>IF(ISBLANK(card_database!$AV$44),-1,card_database!$AV$44)</f>
        <v>-1</v>
      </c>
      <c r="AW44">
        <f>IF(ISBLANK(card_database!$AW$44),-1,card_database!$AW$44)</f>
        <v>-1</v>
      </c>
      <c r="AX44">
        <f>IF(ISBLANK(card_database!$AX$44),-1,MATCH(card_database!$AX$44,わざ, 0) - 1)</f>
        <v>-1</v>
      </c>
      <c r="AY44">
        <f>IF(ISBLANK(card_database!$AY$44),-1,card_database!$AY$44)</f>
        <v>-1</v>
      </c>
      <c r="AZ44">
        <f>IF(ISBLANK(card_database!$AZ$44),-1,card_database!$AZ$44)</f>
        <v>-1</v>
      </c>
      <c r="BA44">
        <f>IF(ISBLANK(card_database!$BA$44),-1,MATCH(card_database!$BA$44,条件, 0) - 1)</f>
        <v>-1</v>
      </c>
      <c r="BB44">
        <f>IF(ISBLANK(card_database!$BB$44),-1,card_database!$BB$44)</f>
        <v>-1</v>
      </c>
      <c r="BC44">
        <f>IF(ISBLANK(card_database!$BC$44),-1,card_database!$BC$44)</f>
        <v>-1</v>
      </c>
      <c r="BD44">
        <f>IF(ISBLANK(card_database!$BD$44),-1,MATCH(card_database!$BD$44,わざ, 0) - 1)</f>
        <v>-1</v>
      </c>
      <c r="BE44">
        <f>IF(ISBLANK(card_database!$BE$44),-1,card_database!$BE$44)</f>
        <v>-1</v>
      </c>
      <c r="BF44">
        <f>IF(ISBLANK(card_database!$BF$44),-1,card_database!$BF$44)</f>
        <v>-1</v>
      </c>
      <c r="BG44">
        <f>IF(ISBLANK(card_database!$BG$44),-1,card_database!$BG$44)</f>
        <v>-1</v>
      </c>
      <c r="BH44">
        <f>IF(ISBLANK(card_database!$BB$44),-1,card_database!$BB$44)</f>
        <v>-1</v>
      </c>
      <c r="BI44">
        <f>IF(ISBLANK(card_database!$BC$44),-1,card_database!$BC$44)</f>
        <v>-1</v>
      </c>
      <c r="BJ44">
        <f>IF(ISBLANK(card_database!$BD$44),-1,MATCH(card_database!$BD$44,わざ, 0) - 1)</f>
        <v>-1</v>
      </c>
    </row>
    <row r="45" spans="1:62" x14ac:dyDescent="0.55000000000000004">
      <c r="A45">
        <f>IF(ISBLANK(card_database!$A$45),-1,card_database!$A$45)</f>
        <v>39</v>
      </c>
      <c r="B45" t="str">
        <f>IF(ISBLANK(card_database!$B$45),-1,card_database!$B$45)</f>
        <v>ワイト</v>
      </c>
      <c r="C45" t="str">
        <f>IF(ISBLANK(card_database!$C$45),-1,card_database!$C$45)</f>
        <v>どこにでも出てくるガイコツのおばけ。攻撃は弱いが集まると大変。</v>
      </c>
      <c r="D45">
        <f>IF(ISBLANK(card_database!$D$45),-1,card_database!$D$45)</f>
        <v>39</v>
      </c>
      <c r="E45">
        <f>IF(ISBLANK(card_database!$E$45),-1,MATCH(card_database!$E$45,タイプ, 0) - 1)</f>
        <v>-1</v>
      </c>
      <c r="F45">
        <f>IF(ISBLANK(card_database!$F$45),-1,MATCH(card_database!$F$45,タイプ詳細, 0) - 1)</f>
        <v>-1</v>
      </c>
      <c r="G45">
        <f>IF(ISBLANK(card_database!$G$45),-1,card_database!$G$45)</f>
        <v>-1</v>
      </c>
      <c r="H45">
        <f>IF(ISBLANK(card_database!$H$45),-1,card_database!$H$45)</f>
        <v>-1</v>
      </c>
      <c r="I45">
        <f>IF(ISBLANK(card_database!$I$45),-1,MATCH(card_database!$I$45,属性, 0) - 1)</f>
        <v>-1</v>
      </c>
      <c r="J45">
        <f>IF(ISBLANK(card_database!$J$45),-1,MATCH(card_database!$J$45,種族, 0) - 1)</f>
        <v>-1</v>
      </c>
      <c r="K45">
        <f>IF(ISBLANK(card_database!$K$45),-1,card_database!$K$45)</f>
        <v>-1</v>
      </c>
      <c r="L45">
        <f>IF(ISBLANK(card_database!$L$45),-1,card_database!$L$45)</f>
        <v>-1</v>
      </c>
      <c r="M45">
        <f>IF(ISBLANK(card_database!$M$45),-1,card_database!$M$45)</f>
        <v>-1</v>
      </c>
      <c r="N45">
        <f>IF(ISBLANK(card_database!$N$45),-1,card_database!$N$45)</f>
        <v>-1</v>
      </c>
      <c r="O45">
        <f>IF(ISBLANK(card_database!$O$45),-1,card_database!$O$45)</f>
        <v>-1</v>
      </c>
      <c r="P45">
        <f>IF(ISBLANK(card_database!$P$45),-1,MATCH(card_database!$P$45,条件, 0) - 1)</f>
        <v>-1</v>
      </c>
      <c r="Q45">
        <f>IF(ISBLANK(card_database!$Q$45),-1,MATCH(card_database!$Q$45,条件, 0) - 1)</f>
        <v>-1</v>
      </c>
      <c r="R45">
        <f>IF(ISBLANK(card_database!$R$45),-1,card_database!$R$45)</f>
        <v>-1</v>
      </c>
      <c r="S45">
        <f>IF(ISBLANK(card_database!$S$45),-1,card_database!$S$45)</f>
        <v>-1</v>
      </c>
      <c r="T45">
        <f>IF(ISBLANK(card_database!$T$45),-1,MATCH(card_database!$T$45,効果, 0) - 1)</f>
        <v>-1</v>
      </c>
      <c r="U45">
        <f>IF(ISBLANK(card_database!$U$45),-1,card_database!$U$45)</f>
        <v>-1</v>
      </c>
      <c r="V45">
        <f>IF(ISBLANK(card_database!$V$45),-1,card_database!$V$45)</f>
        <v>-1</v>
      </c>
      <c r="W45">
        <f>IF(ISBLANK(card_database!$W$45),-1,MATCH(card_database!$W$45,条件, 0) - 1)</f>
        <v>-1</v>
      </c>
      <c r="X45">
        <f>IF(ISBLANK(card_database!$X$45),-1,card_database!$X$45)</f>
        <v>-1</v>
      </c>
      <c r="Y45">
        <f>IF(ISBLANK(card_database!$Y$45),-1,card_database!$Y$45)</f>
        <v>-1</v>
      </c>
      <c r="Z45">
        <f>IF(ISBLANK(card_database!$Z$45),-1,MATCH(card_database!$Z$45,効果, 0) - 1)</f>
        <v>-1</v>
      </c>
      <c r="AA45">
        <f>IF(ISBLANK(card_database!$AA$45),-1,card_database!$AA$45)</f>
        <v>-1</v>
      </c>
      <c r="AB45">
        <f>IF(ISBLANK(card_database!$AB$45),-1,card_database!$AB$45)</f>
        <v>-1</v>
      </c>
      <c r="AC45">
        <f>IF(ISBLANK(card_database!$AC$45),-1,MATCH(card_database!$AC$45,条件, 0) - 1)</f>
        <v>-1</v>
      </c>
      <c r="AD45">
        <f>IF(ISBLANK(card_database!$AD$45),-1,card_database!$AD$45)</f>
        <v>-1</v>
      </c>
      <c r="AE45">
        <f>IF(ISBLANK(card_database!$AE$45),-1,card_database!$AE$45)</f>
        <v>-1</v>
      </c>
      <c r="AF45">
        <f>IF(ISBLANK(card_database!$AF$45),-1,MATCH(card_database!$AF$45,効果, 0) - 1)</f>
        <v>-1</v>
      </c>
      <c r="AG45">
        <f>IF(ISBLANK(card_database!$AG$45),-1,card_database!$AG$45)</f>
        <v>-1</v>
      </c>
      <c r="AH45">
        <f>IF(ISBLANK(card_database!$AH$45),-1,card_database!$AH$45)</f>
        <v>-1</v>
      </c>
      <c r="AI45">
        <f>IF(ISBLANK(card_database!$AI$45),-1,MATCH(card_database!$AI$45,条件, 0) - 1)</f>
        <v>-1</v>
      </c>
      <c r="AJ45">
        <f>IF(ISBLANK(card_database!$AJ$45),-1,card_database!$AJ$45)</f>
        <v>-1</v>
      </c>
      <c r="AK45">
        <f>IF(ISBLANK(card_database!$AK$45),-1,card_database!$AK$45)</f>
        <v>-1</v>
      </c>
      <c r="AL45">
        <f>IF(ISBLANK(card_database!$AL$45),-1,MATCH(card_database!$AL$45,わざ, 0) - 1)</f>
        <v>-1</v>
      </c>
      <c r="AM45">
        <f>IF(ISBLANK(card_database!$AM$45),-1,card_database!$AM$45)</f>
        <v>-1</v>
      </c>
      <c r="AN45">
        <f>IF(ISBLANK(card_database!$AN$45),-1,card_database!$AN$45)</f>
        <v>-1</v>
      </c>
      <c r="AO45">
        <f>IF(ISBLANK(card_database!$AO$45),-1,MATCH(card_database!$AO$45,条件, 0) - 1)</f>
        <v>-1</v>
      </c>
      <c r="AP45">
        <f>IF(ISBLANK(card_database!$AP$45),-1,card_database!$AP$45)</f>
        <v>-1</v>
      </c>
      <c r="AQ45">
        <f>IF(ISBLANK(card_database!$AQ$45),-1,card_database!$AQ$45)</f>
        <v>-1</v>
      </c>
      <c r="AR45">
        <f>IF(ISBLANK(card_database!$AR$45),-1,MATCH(card_database!$AR$45,わざ, 0) - 1)</f>
        <v>-1</v>
      </c>
      <c r="AS45">
        <f>IF(ISBLANK(card_database!$AS$45),-1,card_database!$AS$45)</f>
        <v>-1</v>
      </c>
      <c r="AT45">
        <f>IF(ISBLANK(card_database!$AT$45),-1,card_database!$AT$45)</f>
        <v>-1</v>
      </c>
      <c r="AU45">
        <f>IF(ISBLANK(card_database!$AU$45),-1,MATCH(card_database!$AU$45,条件, 0) - 1)</f>
        <v>-1</v>
      </c>
      <c r="AV45">
        <f>IF(ISBLANK(card_database!$AV$45),-1,card_database!$AV$45)</f>
        <v>-1</v>
      </c>
      <c r="AW45">
        <f>IF(ISBLANK(card_database!$AW$45),-1,card_database!$AW$45)</f>
        <v>-1</v>
      </c>
      <c r="AX45">
        <f>IF(ISBLANK(card_database!$AX$45),-1,MATCH(card_database!$AX$45,わざ, 0) - 1)</f>
        <v>-1</v>
      </c>
      <c r="AY45">
        <f>IF(ISBLANK(card_database!$AY$45),-1,card_database!$AY$45)</f>
        <v>-1</v>
      </c>
      <c r="AZ45">
        <f>IF(ISBLANK(card_database!$AZ$45),-1,card_database!$AZ$45)</f>
        <v>-1</v>
      </c>
      <c r="BA45">
        <f>IF(ISBLANK(card_database!$BA$45),-1,MATCH(card_database!$BA$45,条件, 0) - 1)</f>
        <v>-1</v>
      </c>
      <c r="BB45">
        <f>IF(ISBLANK(card_database!$BB$45),-1,card_database!$BB$45)</f>
        <v>-1</v>
      </c>
      <c r="BC45">
        <f>IF(ISBLANK(card_database!$BC$45),-1,card_database!$BC$45)</f>
        <v>-1</v>
      </c>
      <c r="BD45">
        <f>IF(ISBLANK(card_database!$BD$45),-1,MATCH(card_database!$BD$45,わざ, 0) - 1)</f>
        <v>-1</v>
      </c>
      <c r="BE45">
        <f>IF(ISBLANK(card_database!$BE$45),-1,card_database!$BE$45)</f>
        <v>-1</v>
      </c>
      <c r="BF45">
        <f>IF(ISBLANK(card_database!$BF$45),-1,card_database!$BF$45)</f>
        <v>-1</v>
      </c>
      <c r="BG45">
        <f>IF(ISBLANK(card_database!$BG$45),-1,card_database!$BG$45)</f>
        <v>-1</v>
      </c>
      <c r="BH45">
        <f>IF(ISBLANK(card_database!$BB$45),-1,card_database!$BB$45)</f>
        <v>-1</v>
      </c>
      <c r="BI45">
        <f>IF(ISBLANK(card_database!$BC$45),-1,card_database!$BC$45)</f>
        <v>-1</v>
      </c>
      <c r="BJ45">
        <f>IF(ISBLANK(card_database!$BD$45),-1,MATCH(card_database!$BD$45,わざ, 0) - 1)</f>
        <v>-1</v>
      </c>
    </row>
    <row r="46" spans="1:62" x14ac:dyDescent="0.55000000000000004">
      <c r="A46">
        <f>IF(ISBLANK(card_database!$A$46),-1,card_database!$A$46)</f>
        <v>40</v>
      </c>
      <c r="B46" t="str">
        <f>IF(ISBLANK(card_database!$B$46),-1,card_database!$B$46)</f>
        <v>青眼の白龍</v>
      </c>
      <c r="C46" t="str">
        <f>IF(ISBLANK(card_database!$C$46),-1,card_database!$C$46)</f>
        <v>高い攻撃力を誇る伝説のドラゴン。どんな相手でも粉砕する、その破壊力は計り知れない。</v>
      </c>
      <c r="D46">
        <f>IF(ISBLANK(card_database!$D$46),-1,card_database!$D$46)</f>
        <v>40</v>
      </c>
      <c r="E46">
        <f>IF(ISBLANK(card_database!$E$46),-1,MATCH(card_database!$E$46,タイプ, 0) - 1)</f>
        <v>-1</v>
      </c>
      <c r="F46">
        <f>IF(ISBLANK(card_database!$F$46),-1,MATCH(card_database!$F$46,タイプ詳細, 0) - 1)</f>
        <v>-1</v>
      </c>
      <c r="G46">
        <f>IF(ISBLANK(card_database!$G$46),-1,card_database!$G$46)</f>
        <v>-1</v>
      </c>
      <c r="H46">
        <f>IF(ISBLANK(card_database!$H$46),-1,card_database!$H$46)</f>
        <v>-1</v>
      </c>
      <c r="I46">
        <f>IF(ISBLANK(card_database!$I$46),-1,MATCH(card_database!$I$46,属性, 0) - 1)</f>
        <v>-1</v>
      </c>
      <c r="J46">
        <f>IF(ISBLANK(card_database!$J$46),-1,MATCH(card_database!$J$46,種族, 0) - 1)</f>
        <v>-1</v>
      </c>
      <c r="K46">
        <f>IF(ISBLANK(card_database!$K$46),-1,card_database!$K$46)</f>
        <v>-1</v>
      </c>
      <c r="L46">
        <f>IF(ISBLANK(card_database!$L$46),-1,card_database!$L$46)</f>
        <v>-1</v>
      </c>
      <c r="M46">
        <f>IF(ISBLANK(card_database!$M$46),-1,card_database!$M$46)</f>
        <v>-1</v>
      </c>
      <c r="N46">
        <f>IF(ISBLANK(card_database!$N$46),-1,card_database!$N$46)</f>
        <v>-1</v>
      </c>
      <c r="O46">
        <f>IF(ISBLANK(card_database!$O$46),-1,card_database!$O$46)</f>
        <v>-1</v>
      </c>
      <c r="P46">
        <f>IF(ISBLANK(card_database!$P$46),-1,MATCH(card_database!$P$46,条件, 0) - 1)</f>
        <v>-1</v>
      </c>
      <c r="Q46">
        <f>IF(ISBLANK(card_database!$Q$46),-1,MATCH(card_database!$Q$46,条件, 0) - 1)</f>
        <v>-1</v>
      </c>
      <c r="R46">
        <f>IF(ISBLANK(card_database!$R$46),-1,card_database!$R$46)</f>
        <v>-1</v>
      </c>
      <c r="S46">
        <f>IF(ISBLANK(card_database!$S$46),-1,card_database!$S$46)</f>
        <v>-1</v>
      </c>
      <c r="T46">
        <f>IF(ISBLANK(card_database!$T$46),-1,MATCH(card_database!$T$46,効果, 0) - 1)</f>
        <v>-1</v>
      </c>
      <c r="U46">
        <f>IF(ISBLANK(card_database!$U$46),-1,card_database!$U$46)</f>
        <v>-1</v>
      </c>
      <c r="V46">
        <f>IF(ISBLANK(card_database!$V$46),-1,card_database!$V$46)</f>
        <v>-1</v>
      </c>
      <c r="W46">
        <f>IF(ISBLANK(card_database!$W$46),-1,MATCH(card_database!$W$46,条件, 0) - 1)</f>
        <v>-1</v>
      </c>
      <c r="X46">
        <f>IF(ISBLANK(card_database!$X$46),-1,card_database!$X$46)</f>
        <v>-1</v>
      </c>
      <c r="Y46">
        <f>IF(ISBLANK(card_database!$Y$46),-1,card_database!$Y$46)</f>
        <v>-1</v>
      </c>
      <c r="Z46">
        <f>IF(ISBLANK(card_database!$Z$46),-1,MATCH(card_database!$Z$46,効果, 0) - 1)</f>
        <v>-1</v>
      </c>
      <c r="AA46">
        <f>IF(ISBLANK(card_database!$AA$46),-1,card_database!$AA$46)</f>
        <v>-1</v>
      </c>
      <c r="AB46">
        <f>IF(ISBLANK(card_database!$AB$46),-1,card_database!$AB$46)</f>
        <v>-1</v>
      </c>
      <c r="AC46">
        <f>IF(ISBLANK(card_database!$AC$46),-1,MATCH(card_database!$AC$46,条件, 0) - 1)</f>
        <v>-1</v>
      </c>
      <c r="AD46">
        <f>IF(ISBLANK(card_database!$AD$46),-1,card_database!$AD$46)</f>
        <v>-1</v>
      </c>
      <c r="AE46">
        <f>IF(ISBLANK(card_database!$AE$46),-1,card_database!$AE$46)</f>
        <v>-1</v>
      </c>
      <c r="AF46">
        <f>IF(ISBLANK(card_database!$AF$46),-1,MATCH(card_database!$AF$46,効果, 0) - 1)</f>
        <v>-1</v>
      </c>
      <c r="AG46">
        <f>IF(ISBLANK(card_database!$AG$46),-1,card_database!$AG$46)</f>
        <v>-1</v>
      </c>
      <c r="AH46">
        <f>IF(ISBLANK(card_database!$AH$46),-1,card_database!$AH$46)</f>
        <v>-1</v>
      </c>
      <c r="AI46">
        <f>IF(ISBLANK(card_database!$AI$46),-1,MATCH(card_database!$AI$46,条件, 0) - 1)</f>
        <v>-1</v>
      </c>
      <c r="AJ46">
        <f>IF(ISBLANK(card_database!$AJ$46),-1,card_database!$AJ$46)</f>
        <v>-1</v>
      </c>
      <c r="AK46">
        <f>IF(ISBLANK(card_database!$AK$46),-1,card_database!$AK$46)</f>
        <v>-1</v>
      </c>
      <c r="AL46">
        <f>IF(ISBLANK(card_database!$AL$46),-1,MATCH(card_database!$AL$46,わざ, 0) - 1)</f>
        <v>-1</v>
      </c>
      <c r="AM46">
        <f>IF(ISBLANK(card_database!$AM$46),-1,card_database!$AM$46)</f>
        <v>-1</v>
      </c>
      <c r="AN46">
        <f>IF(ISBLANK(card_database!$AN$46),-1,card_database!$AN$46)</f>
        <v>-1</v>
      </c>
      <c r="AO46">
        <f>IF(ISBLANK(card_database!$AO$46),-1,MATCH(card_database!$AO$46,条件, 0) - 1)</f>
        <v>-1</v>
      </c>
      <c r="AP46">
        <f>IF(ISBLANK(card_database!$AP$46),-1,card_database!$AP$46)</f>
        <v>-1</v>
      </c>
      <c r="AQ46">
        <f>IF(ISBLANK(card_database!$AQ$46),-1,card_database!$AQ$46)</f>
        <v>-1</v>
      </c>
      <c r="AR46">
        <f>IF(ISBLANK(card_database!$AR$46),-1,MATCH(card_database!$AR$46,わざ, 0) - 1)</f>
        <v>-1</v>
      </c>
      <c r="AS46">
        <f>IF(ISBLANK(card_database!$AS$46),-1,card_database!$AS$46)</f>
        <v>-1</v>
      </c>
      <c r="AT46">
        <f>IF(ISBLANK(card_database!$AT$46),-1,card_database!$AT$46)</f>
        <v>-1</v>
      </c>
      <c r="AU46">
        <f>IF(ISBLANK(card_database!$AU$46),-1,MATCH(card_database!$AU$46,条件, 0) - 1)</f>
        <v>-1</v>
      </c>
      <c r="AV46">
        <f>IF(ISBLANK(card_database!$AV$46),-1,card_database!$AV$46)</f>
        <v>-1</v>
      </c>
      <c r="AW46">
        <f>IF(ISBLANK(card_database!$AW$46),-1,card_database!$AW$46)</f>
        <v>-1</v>
      </c>
      <c r="AX46">
        <f>IF(ISBLANK(card_database!$AX$46),-1,MATCH(card_database!$AX$46,わざ, 0) - 1)</f>
        <v>-1</v>
      </c>
      <c r="AY46">
        <f>IF(ISBLANK(card_database!$AY$46),-1,card_database!$AY$46)</f>
        <v>-1</v>
      </c>
      <c r="AZ46">
        <f>IF(ISBLANK(card_database!$AZ$46),-1,card_database!$AZ$46)</f>
        <v>-1</v>
      </c>
      <c r="BA46">
        <f>IF(ISBLANK(card_database!$BA$46),-1,MATCH(card_database!$BA$46,条件, 0) - 1)</f>
        <v>-1</v>
      </c>
      <c r="BB46">
        <f>IF(ISBLANK(card_database!$BB$46),-1,card_database!$BB$46)</f>
        <v>-1</v>
      </c>
      <c r="BC46">
        <f>IF(ISBLANK(card_database!$BC$46),-1,card_database!$BC$46)</f>
        <v>-1</v>
      </c>
      <c r="BD46">
        <f>IF(ISBLANK(card_database!$BD$46),-1,MATCH(card_database!$BD$46,わざ, 0) - 1)</f>
        <v>-1</v>
      </c>
      <c r="BE46">
        <f>IF(ISBLANK(card_database!$BE$46),-1,card_database!$BE$46)</f>
        <v>-1</v>
      </c>
      <c r="BF46">
        <f>IF(ISBLANK(card_database!$BF$46),-1,card_database!$BF$46)</f>
        <v>-1</v>
      </c>
      <c r="BG46">
        <f>IF(ISBLANK(card_database!$BG$46),-1,card_database!$BG$46)</f>
        <v>-1</v>
      </c>
      <c r="BH46">
        <f>IF(ISBLANK(card_database!$BB$46),-1,card_database!$BB$46)</f>
        <v>-1</v>
      </c>
      <c r="BI46">
        <f>IF(ISBLANK(card_database!$BC$46),-1,card_database!$BC$46)</f>
        <v>-1</v>
      </c>
      <c r="BJ46">
        <f>IF(ISBLANK(card_database!$BD$46),-1,MATCH(card_database!$BD$46,わざ, 0) - 1)</f>
        <v>-1</v>
      </c>
    </row>
    <row r="47" spans="1:62" x14ac:dyDescent="0.55000000000000004">
      <c r="A47">
        <f>IF(ISBLANK(card_database!$A$47),-1,card_database!$A$47)</f>
        <v>41</v>
      </c>
      <c r="B47" t="str">
        <f>IF(ISBLANK(card_database!$B$47),-1,card_database!$B$47)</f>
        <v>暗黒火炎龍</v>
      </c>
      <c r="C47" t="str">
        <f>IF(ISBLANK(card_database!$C$47),-1,card_database!$C$47)</f>
        <v>「火炎草」＋「プチリュウ」</v>
      </c>
      <c r="D47">
        <f>IF(ISBLANK(card_database!$D$47),-1,card_database!$D$47)</f>
        <v>41</v>
      </c>
      <c r="E47">
        <f>IF(ISBLANK(card_database!$E$47),-1,MATCH(card_database!$E$47,タイプ, 0) - 1)</f>
        <v>-1</v>
      </c>
      <c r="F47">
        <f>IF(ISBLANK(card_database!$F$47),-1,MATCH(card_database!$F$47,タイプ詳細, 0) - 1)</f>
        <v>-1</v>
      </c>
      <c r="G47">
        <f>IF(ISBLANK(card_database!$G$47),-1,card_database!$G$47)</f>
        <v>-1</v>
      </c>
      <c r="H47">
        <f>IF(ISBLANK(card_database!$H$47),-1,card_database!$H$47)</f>
        <v>-1</v>
      </c>
      <c r="I47">
        <f>IF(ISBLANK(card_database!$I$47),-1,MATCH(card_database!$I$47,属性, 0) - 1)</f>
        <v>-1</v>
      </c>
      <c r="J47">
        <f>IF(ISBLANK(card_database!$J$47),-1,MATCH(card_database!$J$47,種族, 0) - 1)</f>
        <v>-1</v>
      </c>
      <c r="K47">
        <f>IF(ISBLANK(card_database!$K$47),-1,card_database!$K$47)</f>
        <v>-1</v>
      </c>
      <c r="L47">
        <f>IF(ISBLANK(card_database!$L$47),-1,card_database!$L$47)</f>
        <v>-1</v>
      </c>
      <c r="M47">
        <f>IF(ISBLANK(card_database!$M$47),-1,card_database!$M$47)</f>
        <v>-1</v>
      </c>
      <c r="N47">
        <f>IF(ISBLANK(card_database!$N$47),-1,card_database!$N$47)</f>
        <v>-1</v>
      </c>
      <c r="O47">
        <f>IF(ISBLANK(card_database!$O$47),-1,card_database!$O$47)</f>
        <v>-1</v>
      </c>
      <c r="P47">
        <f>IF(ISBLANK(card_database!$P$47),-1,MATCH(card_database!$P$47,条件, 0) - 1)</f>
        <v>-1</v>
      </c>
      <c r="Q47">
        <f>IF(ISBLANK(card_database!$Q$47),-1,MATCH(card_database!$Q$47,条件, 0) - 1)</f>
        <v>-1</v>
      </c>
      <c r="R47">
        <f>IF(ISBLANK(card_database!$R$47),-1,card_database!$R$47)</f>
        <v>-1</v>
      </c>
      <c r="S47">
        <f>IF(ISBLANK(card_database!$S$47),-1,card_database!$S$47)</f>
        <v>-1</v>
      </c>
      <c r="T47">
        <f>IF(ISBLANK(card_database!$T$47),-1,MATCH(card_database!$T$47,効果, 0) - 1)</f>
        <v>-1</v>
      </c>
      <c r="U47">
        <f>IF(ISBLANK(card_database!$U$47),-1,card_database!$U$47)</f>
        <v>-1</v>
      </c>
      <c r="V47">
        <f>IF(ISBLANK(card_database!$V$47),-1,card_database!$V$47)</f>
        <v>-1</v>
      </c>
      <c r="W47">
        <f>IF(ISBLANK(card_database!$W$47),-1,MATCH(card_database!$W$47,条件, 0) - 1)</f>
        <v>-1</v>
      </c>
      <c r="X47">
        <f>IF(ISBLANK(card_database!$X$47),-1,card_database!$X$47)</f>
        <v>-1</v>
      </c>
      <c r="Y47">
        <f>IF(ISBLANK(card_database!$Y$47),-1,card_database!$Y$47)</f>
        <v>-1</v>
      </c>
      <c r="Z47">
        <f>IF(ISBLANK(card_database!$Z$47),-1,MATCH(card_database!$Z$47,効果, 0) - 1)</f>
        <v>-1</v>
      </c>
      <c r="AA47">
        <f>IF(ISBLANK(card_database!$AA$47),-1,card_database!$AA$47)</f>
        <v>-1</v>
      </c>
      <c r="AB47">
        <f>IF(ISBLANK(card_database!$AB$47),-1,card_database!$AB$47)</f>
        <v>-1</v>
      </c>
      <c r="AC47">
        <f>IF(ISBLANK(card_database!$AC$47),-1,MATCH(card_database!$AC$47,条件, 0) - 1)</f>
        <v>-1</v>
      </c>
      <c r="AD47">
        <f>IF(ISBLANK(card_database!$AD$47),-1,card_database!$AD$47)</f>
        <v>-1</v>
      </c>
      <c r="AE47">
        <f>IF(ISBLANK(card_database!$AE$47),-1,card_database!$AE$47)</f>
        <v>-1</v>
      </c>
      <c r="AF47">
        <f>IF(ISBLANK(card_database!$AF$47),-1,MATCH(card_database!$AF$47,効果, 0) - 1)</f>
        <v>-1</v>
      </c>
      <c r="AG47">
        <f>IF(ISBLANK(card_database!$AG$47),-1,card_database!$AG$47)</f>
        <v>-1</v>
      </c>
      <c r="AH47">
        <f>IF(ISBLANK(card_database!$AH$47),-1,card_database!$AH$47)</f>
        <v>-1</v>
      </c>
      <c r="AI47">
        <f>IF(ISBLANK(card_database!$AI$47),-1,MATCH(card_database!$AI$47,条件, 0) - 1)</f>
        <v>-1</v>
      </c>
      <c r="AJ47">
        <f>IF(ISBLANK(card_database!$AJ$47),-1,card_database!$AJ$47)</f>
        <v>-1</v>
      </c>
      <c r="AK47">
        <f>IF(ISBLANK(card_database!$AK$47),-1,card_database!$AK$47)</f>
        <v>-1</v>
      </c>
      <c r="AL47">
        <f>IF(ISBLANK(card_database!$AL$47),-1,MATCH(card_database!$AL$47,わざ, 0) - 1)</f>
        <v>-1</v>
      </c>
      <c r="AM47">
        <f>IF(ISBLANK(card_database!$AM$47),-1,card_database!$AM$47)</f>
        <v>-1</v>
      </c>
      <c r="AN47">
        <f>IF(ISBLANK(card_database!$AN$47),-1,card_database!$AN$47)</f>
        <v>-1</v>
      </c>
      <c r="AO47">
        <f>IF(ISBLANK(card_database!$AO$47),-1,MATCH(card_database!$AO$47,条件, 0) - 1)</f>
        <v>-1</v>
      </c>
      <c r="AP47">
        <f>IF(ISBLANK(card_database!$AP$47),-1,card_database!$AP$47)</f>
        <v>-1</v>
      </c>
      <c r="AQ47">
        <f>IF(ISBLANK(card_database!$AQ$47),-1,card_database!$AQ$47)</f>
        <v>-1</v>
      </c>
      <c r="AR47">
        <f>IF(ISBLANK(card_database!$AR$47),-1,MATCH(card_database!$AR$47,わざ, 0) - 1)</f>
        <v>-1</v>
      </c>
      <c r="AS47">
        <f>IF(ISBLANK(card_database!$AS$47),-1,card_database!$AS$47)</f>
        <v>-1</v>
      </c>
      <c r="AT47">
        <f>IF(ISBLANK(card_database!$AT$47),-1,card_database!$AT$47)</f>
        <v>-1</v>
      </c>
      <c r="AU47">
        <f>IF(ISBLANK(card_database!$AU$47),-1,MATCH(card_database!$AU$47,条件, 0) - 1)</f>
        <v>-1</v>
      </c>
      <c r="AV47">
        <f>IF(ISBLANK(card_database!$AV$47),-1,card_database!$AV$47)</f>
        <v>-1</v>
      </c>
      <c r="AW47">
        <f>IF(ISBLANK(card_database!$AW$47),-1,card_database!$AW$47)</f>
        <v>-1</v>
      </c>
      <c r="AX47">
        <f>IF(ISBLANK(card_database!$AX$47),-1,MATCH(card_database!$AX$47,わざ, 0) - 1)</f>
        <v>-1</v>
      </c>
      <c r="AY47">
        <f>IF(ISBLANK(card_database!$AY$47),-1,card_database!$AY$47)</f>
        <v>-1</v>
      </c>
      <c r="AZ47">
        <f>IF(ISBLANK(card_database!$AZ$47),-1,card_database!$AZ$47)</f>
        <v>-1</v>
      </c>
      <c r="BA47">
        <f>IF(ISBLANK(card_database!$BA$47),-1,MATCH(card_database!$BA$47,条件, 0) - 1)</f>
        <v>-1</v>
      </c>
      <c r="BB47">
        <f>IF(ISBLANK(card_database!$BB$47),-1,card_database!$BB$47)</f>
        <v>-1</v>
      </c>
      <c r="BC47">
        <f>IF(ISBLANK(card_database!$BC$47),-1,card_database!$BC$47)</f>
        <v>-1</v>
      </c>
      <c r="BD47">
        <f>IF(ISBLANK(card_database!$BD$47),-1,MATCH(card_database!$BD$47,わざ, 0) - 1)</f>
        <v>-1</v>
      </c>
      <c r="BE47">
        <f>IF(ISBLANK(card_database!$BE$47),-1,card_database!$BE$47)</f>
        <v>-1</v>
      </c>
      <c r="BF47">
        <f>IF(ISBLANK(card_database!$BF$47),-1,card_database!$BF$47)</f>
        <v>-1</v>
      </c>
      <c r="BG47">
        <f>IF(ISBLANK(card_database!$BG$47),-1,card_database!$BG$47)</f>
        <v>-1</v>
      </c>
      <c r="BH47">
        <f>IF(ISBLANK(card_database!$BB$47),-1,card_database!$BB$47)</f>
        <v>-1</v>
      </c>
      <c r="BI47">
        <f>IF(ISBLANK(card_database!$BC$47),-1,card_database!$BC$47)</f>
        <v>-1</v>
      </c>
      <c r="BJ47">
        <f>IF(ISBLANK(card_database!$BD$47),-1,MATCH(card_database!$BD$47,わざ, 0) - 1)</f>
        <v>-1</v>
      </c>
    </row>
    <row r="48" spans="1:62" x14ac:dyDescent="0.55000000000000004">
      <c r="A48">
        <f>IF(ISBLANK(card_database!$A$48),-1,card_database!$A$48)</f>
        <v>42</v>
      </c>
      <c r="B48" t="str">
        <f>IF(ISBLANK(card_database!$B$48),-1,card_database!$B$48)</f>
        <v>フュージョニスト</v>
      </c>
      <c r="C48" t="str">
        <f>IF(ISBLANK(card_database!$C$48),-1,card_database!$C$48)</f>
        <v>「プチテンシ」＋「スリーピィ」</v>
      </c>
      <c r="D48">
        <f>IF(ISBLANK(card_database!$D$48),-1,card_database!$D$48)</f>
        <v>42</v>
      </c>
      <c r="E48">
        <f>IF(ISBLANK(card_database!$E$48),-1,MATCH(card_database!$E$48,タイプ, 0) - 1)</f>
        <v>-1</v>
      </c>
      <c r="F48">
        <f>IF(ISBLANK(card_database!$F$48),-1,MATCH(card_database!$F$48,タイプ詳細, 0) - 1)</f>
        <v>-1</v>
      </c>
      <c r="G48">
        <f>IF(ISBLANK(card_database!$G$48),-1,card_database!$G$48)</f>
        <v>-1</v>
      </c>
      <c r="H48">
        <f>IF(ISBLANK(card_database!$H$48),-1,card_database!$H$48)</f>
        <v>-1</v>
      </c>
      <c r="I48">
        <f>IF(ISBLANK(card_database!$I$48),-1,MATCH(card_database!$I$48,属性, 0) - 1)</f>
        <v>-1</v>
      </c>
      <c r="J48">
        <f>IF(ISBLANK(card_database!$J$48),-1,MATCH(card_database!$J$48,種族, 0) - 1)</f>
        <v>-1</v>
      </c>
      <c r="K48">
        <f>IF(ISBLANK(card_database!$K$48),-1,card_database!$K$48)</f>
        <v>-1</v>
      </c>
      <c r="L48">
        <f>IF(ISBLANK(card_database!$L$48),-1,card_database!$L$48)</f>
        <v>-1</v>
      </c>
      <c r="M48">
        <f>IF(ISBLANK(card_database!$M$48),-1,card_database!$M$48)</f>
        <v>-1</v>
      </c>
      <c r="N48">
        <f>IF(ISBLANK(card_database!$N$48),-1,card_database!$N$48)</f>
        <v>-1</v>
      </c>
      <c r="O48">
        <f>IF(ISBLANK(card_database!$O$48),-1,card_database!$O$48)</f>
        <v>-1</v>
      </c>
      <c r="P48">
        <f>IF(ISBLANK(card_database!$P$48),-1,MATCH(card_database!$P$48,条件, 0) - 1)</f>
        <v>-1</v>
      </c>
      <c r="Q48">
        <f>IF(ISBLANK(card_database!$Q$48),-1,MATCH(card_database!$Q$48,条件, 0) - 1)</f>
        <v>-1</v>
      </c>
      <c r="R48">
        <f>IF(ISBLANK(card_database!$R$48),-1,card_database!$R$48)</f>
        <v>-1</v>
      </c>
      <c r="S48">
        <f>IF(ISBLANK(card_database!$S$48),-1,card_database!$S$48)</f>
        <v>-1</v>
      </c>
      <c r="T48">
        <f>IF(ISBLANK(card_database!$T$48),-1,MATCH(card_database!$T$48,効果, 0) - 1)</f>
        <v>-1</v>
      </c>
      <c r="U48">
        <f>IF(ISBLANK(card_database!$U$48),-1,card_database!$U$48)</f>
        <v>-1</v>
      </c>
      <c r="V48">
        <f>IF(ISBLANK(card_database!$V$48),-1,card_database!$V$48)</f>
        <v>-1</v>
      </c>
      <c r="W48">
        <f>IF(ISBLANK(card_database!$W$48),-1,MATCH(card_database!$W$48,条件, 0) - 1)</f>
        <v>-1</v>
      </c>
      <c r="X48">
        <f>IF(ISBLANK(card_database!$X$48),-1,card_database!$X$48)</f>
        <v>-1</v>
      </c>
      <c r="Y48">
        <f>IF(ISBLANK(card_database!$Y$48),-1,card_database!$Y$48)</f>
        <v>-1</v>
      </c>
      <c r="Z48">
        <f>IF(ISBLANK(card_database!$Z$48),-1,MATCH(card_database!$Z$48,効果, 0) - 1)</f>
        <v>-1</v>
      </c>
      <c r="AA48">
        <f>IF(ISBLANK(card_database!$AA$48),-1,card_database!$AA$48)</f>
        <v>-1</v>
      </c>
      <c r="AB48">
        <f>IF(ISBLANK(card_database!$AB$48),-1,card_database!$AB$48)</f>
        <v>-1</v>
      </c>
      <c r="AC48">
        <f>IF(ISBLANK(card_database!$AC$48),-1,MATCH(card_database!$AC$48,条件, 0) - 1)</f>
        <v>-1</v>
      </c>
      <c r="AD48">
        <f>IF(ISBLANK(card_database!$AD$48),-1,card_database!$AD$48)</f>
        <v>-1</v>
      </c>
      <c r="AE48">
        <f>IF(ISBLANK(card_database!$AE$48),-1,card_database!$AE$48)</f>
        <v>-1</v>
      </c>
      <c r="AF48">
        <f>IF(ISBLANK(card_database!$AF$48),-1,MATCH(card_database!$AF$48,効果, 0) - 1)</f>
        <v>-1</v>
      </c>
      <c r="AG48">
        <f>IF(ISBLANK(card_database!$AG$48),-1,card_database!$AG$48)</f>
        <v>-1</v>
      </c>
      <c r="AH48">
        <f>IF(ISBLANK(card_database!$AH$48),-1,card_database!$AH$48)</f>
        <v>-1</v>
      </c>
      <c r="AI48">
        <f>IF(ISBLANK(card_database!$AI$48),-1,MATCH(card_database!$AI$48,条件, 0) - 1)</f>
        <v>-1</v>
      </c>
      <c r="AJ48">
        <f>IF(ISBLANK(card_database!$AJ$48),-1,card_database!$AJ$48)</f>
        <v>-1</v>
      </c>
      <c r="AK48">
        <f>IF(ISBLANK(card_database!$AK$48),-1,card_database!$AK$48)</f>
        <v>-1</v>
      </c>
      <c r="AL48">
        <f>IF(ISBLANK(card_database!$AL$48),-1,MATCH(card_database!$AL$48,わざ, 0) - 1)</f>
        <v>-1</v>
      </c>
      <c r="AM48">
        <f>IF(ISBLANK(card_database!$AM$48),-1,card_database!$AM$48)</f>
        <v>-1</v>
      </c>
      <c r="AN48">
        <f>IF(ISBLANK(card_database!$AN$48),-1,card_database!$AN$48)</f>
        <v>-1</v>
      </c>
      <c r="AO48">
        <f>IF(ISBLANK(card_database!$AO$48),-1,MATCH(card_database!$AO$48,条件, 0) - 1)</f>
        <v>-1</v>
      </c>
      <c r="AP48">
        <f>IF(ISBLANK(card_database!$AP$48),-1,card_database!$AP$48)</f>
        <v>-1</v>
      </c>
      <c r="AQ48">
        <f>IF(ISBLANK(card_database!$AQ$48),-1,card_database!$AQ$48)</f>
        <v>-1</v>
      </c>
      <c r="AR48">
        <f>IF(ISBLANK(card_database!$AR$48),-1,MATCH(card_database!$AR$48,わざ, 0) - 1)</f>
        <v>-1</v>
      </c>
      <c r="AS48">
        <f>IF(ISBLANK(card_database!$AS$48),-1,card_database!$AS$48)</f>
        <v>-1</v>
      </c>
      <c r="AT48">
        <f>IF(ISBLANK(card_database!$AT$48),-1,card_database!$AT$48)</f>
        <v>-1</v>
      </c>
      <c r="AU48">
        <f>IF(ISBLANK(card_database!$AU$48),-1,MATCH(card_database!$AU$48,条件, 0) - 1)</f>
        <v>-1</v>
      </c>
      <c r="AV48">
        <f>IF(ISBLANK(card_database!$AV$48),-1,card_database!$AV$48)</f>
        <v>-1</v>
      </c>
      <c r="AW48">
        <f>IF(ISBLANK(card_database!$AW$48),-1,card_database!$AW$48)</f>
        <v>-1</v>
      </c>
      <c r="AX48">
        <f>IF(ISBLANK(card_database!$AX$48),-1,MATCH(card_database!$AX$48,わざ, 0) - 1)</f>
        <v>-1</v>
      </c>
      <c r="AY48">
        <f>IF(ISBLANK(card_database!$AY$48),-1,card_database!$AY$48)</f>
        <v>-1</v>
      </c>
      <c r="AZ48">
        <f>IF(ISBLANK(card_database!$AZ$48),-1,card_database!$AZ$48)</f>
        <v>-1</v>
      </c>
      <c r="BA48">
        <f>IF(ISBLANK(card_database!$BA$48),-1,MATCH(card_database!$BA$48,条件, 0) - 1)</f>
        <v>-1</v>
      </c>
      <c r="BB48">
        <f>IF(ISBLANK(card_database!$BB$48),-1,card_database!$BB$48)</f>
        <v>-1</v>
      </c>
      <c r="BC48">
        <f>IF(ISBLANK(card_database!$BC$48),-1,card_database!$BC$48)</f>
        <v>-1</v>
      </c>
      <c r="BD48">
        <f>IF(ISBLANK(card_database!$BD$48),-1,MATCH(card_database!$BD$48,わざ, 0) - 1)</f>
        <v>-1</v>
      </c>
      <c r="BE48">
        <f>IF(ISBLANK(card_database!$BE$48),-1,card_database!$BE$48)</f>
        <v>-1</v>
      </c>
      <c r="BF48">
        <f>IF(ISBLANK(card_database!$BF$48),-1,card_database!$BF$48)</f>
        <v>-1</v>
      </c>
      <c r="BG48">
        <f>IF(ISBLANK(card_database!$BG$48),-1,card_database!$BG$48)</f>
        <v>-1</v>
      </c>
      <c r="BH48">
        <f>IF(ISBLANK(card_database!$BB$48),-1,card_database!$BB$48)</f>
        <v>-1</v>
      </c>
      <c r="BI48">
        <f>IF(ISBLANK(card_database!$BC$48),-1,card_database!$BC$48)</f>
        <v>-1</v>
      </c>
      <c r="BJ48">
        <f>IF(ISBLANK(card_database!$BD$48),-1,MATCH(card_database!$BD$48,わざ, 0) - 1)</f>
        <v>-1</v>
      </c>
    </row>
    <row r="49" spans="1:62" x14ac:dyDescent="0.55000000000000004">
      <c r="A49">
        <f>IF(ISBLANK(card_database!$A$49),-1,card_database!$A$49)</f>
        <v>43</v>
      </c>
      <c r="B49" t="str">
        <f>IF(ISBLANK(card_database!$B$49),-1,card_database!$B$49)</f>
        <v>フレイム・ゴースト</v>
      </c>
      <c r="C49" t="str">
        <f>IF(ISBLANK(card_database!$C$49),-1,card_database!$C$49)</f>
        <v>「ワイト」＋「マグマン」</v>
      </c>
      <c r="D49">
        <f>IF(ISBLANK(card_database!$D$49),-1,card_database!$D$49)</f>
        <v>43</v>
      </c>
      <c r="E49">
        <f>IF(ISBLANK(card_database!$E$49),-1,MATCH(card_database!$E$49,タイプ, 0) - 1)</f>
        <v>-1</v>
      </c>
      <c r="F49">
        <f>IF(ISBLANK(card_database!$F$49),-1,MATCH(card_database!$F$49,タイプ詳細, 0) - 1)</f>
        <v>-1</v>
      </c>
      <c r="G49">
        <f>IF(ISBLANK(card_database!$G$49),-1,card_database!$G$49)</f>
        <v>-1</v>
      </c>
      <c r="H49">
        <f>IF(ISBLANK(card_database!$H$49),-1,card_database!$H$49)</f>
        <v>-1</v>
      </c>
      <c r="I49">
        <f>IF(ISBLANK(card_database!$I$49),-1,MATCH(card_database!$I$49,属性, 0) - 1)</f>
        <v>-1</v>
      </c>
      <c r="J49">
        <f>IF(ISBLANK(card_database!$J$49),-1,MATCH(card_database!$J$49,種族, 0) - 1)</f>
        <v>-1</v>
      </c>
      <c r="K49">
        <f>IF(ISBLANK(card_database!$K$49),-1,card_database!$K$49)</f>
        <v>-1</v>
      </c>
      <c r="L49">
        <f>IF(ISBLANK(card_database!$L$49),-1,card_database!$L$49)</f>
        <v>-1</v>
      </c>
      <c r="M49">
        <f>IF(ISBLANK(card_database!$M$49),-1,card_database!$M$49)</f>
        <v>-1</v>
      </c>
      <c r="N49">
        <f>IF(ISBLANK(card_database!$N$49),-1,card_database!$N$49)</f>
        <v>-1</v>
      </c>
      <c r="O49">
        <f>IF(ISBLANK(card_database!$O$49),-1,card_database!$O$49)</f>
        <v>-1</v>
      </c>
      <c r="P49">
        <f>IF(ISBLANK(card_database!$P$49),-1,MATCH(card_database!$P$49,条件, 0) - 1)</f>
        <v>-1</v>
      </c>
      <c r="Q49">
        <f>IF(ISBLANK(card_database!$Q$49),-1,MATCH(card_database!$Q$49,条件, 0) - 1)</f>
        <v>-1</v>
      </c>
      <c r="R49">
        <f>IF(ISBLANK(card_database!$R$49),-1,card_database!$R$49)</f>
        <v>-1</v>
      </c>
      <c r="S49">
        <f>IF(ISBLANK(card_database!$S$49),-1,card_database!$S$49)</f>
        <v>-1</v>
      </c>
      <c r="T49">
        <f>IF(ISBLANK(card_database!$T$49),-1,MATCH(card_database!$T$49,効果, 0) - 1)</f>
        <v>-1</v>
      </c>
      <c r="U49">
        <f>IF(ISBLANK(card_database!$U$49),-1,card_database!$U$49)</f>
        <v>-1</v>
      </c>
      <c r="V49">
        <f>IF(ISBLANK(card_database!$V$49),-1,card_database!$V$49)</f>
        <v>-1</v>
      </c>
      <c r="W49">
        <f>IF(ISBLANK(card_database!$W$49),-1,MATCH(card_database!$W$49,条件, 0) - 1)</f>
        <v>-1</v>
      </c>
      <c r="X49">
        <f>IF(ISBLANK(card_database!$X$49),-1,card_database!$X$49)</f>
        <v>-1</v>
      </c>
      <c r="Y49">
        <f>IF(ISBLANK(card_database!$Y$49),-1,card_database!$Y$49)</f>
        <v>-1</v>
      </c>
      <c r="Z49">
        <f>IF(ISBLANK(card_database!$Z$49),-1,MATCH(card_database!$Z$49,効果, 0) - 1)</f>
        <v>-1</v>
      </c>
      <c r="AA49">
        <f>IF(ISBLANK(card_database!$AA$49),-1,card_database!$AA$49)</f>
        <v>-1</v>
      </c>
      <c r="AB49">
        <f>IF(ISBLANK(card_database!$AB$49),-1,card_database!$AB$49)</f>
        <v>-1</v>
      </c>
      <c r="AC49">
        <f>IF(ISBLANK(card_database!$AC$49),-1,MATCH(card_database!$AC$49,条件, 0) - 1)</f>
        <v>-1</v>
      </c>
      <c r="AD49">
        <f>IF(ISBLANK(card_database!$AD$49),-1,card_database!$AD$49)</f>
        <v>-1</v>
      </c>
      <c r="AE49">
        <f>IF(ISBLANK(card_database!$AE$49),-1,card_database!$AE$49)</f>
        <v>-1</v>
      </c>
      <c r="AF49">
        <f>IF(ISBLANK(card_database!$AF$49),-1,MATCH(card_database!$AF$49,効果, 0) - 1)</f>
        <v>-1</v>
      </c>
      <c r="AG49">
        <f>IF(ISBLANK(card_database!$AG$49),-1,card_database!$AG$49)</f>
        <v>-1</v>
      </c>
      <c r="AH49">
        <f>IF(ISBLANK(card_database!$AH$49),-1,card_database!$AH$49)</f>
        <v>-1</v>
      </c>
      <c r="AI49">
        <f>IF(ISBLANK(card_database!$AI$49),-1,MATCH(card_database!$AI$49,条件, 0) - 1)</f>
        <v>-1</v>
      </c>
      <c r="AJ49">
        <f>IF(ISBLANK(card_database!$AJ$49),-1,card_database!$AJ$49)</f>
        <v>-1</v>
      </c>
      <c r="AK49">
        <f>IF(ISBLANK(card_database!$AK$49),-1,card_database!$AK$49)</f>
        <v>-1</v>
      </c>
      <c r="AL49">
        <f>IF(ISBLANK(card_database!$AL$49),-1,MATCH(card_database!$AL$49,わざ, 0) - 1)</f>
        <v>-1</v>
      </c>
      <c r="AM49">
        <f>IF(ISBLANK(card_database!$AM$49),-1,card_database!$AM$49)</f>
        <v>-1</v>
      </c>
      <c r="AN49">
        <f>IF(ISBLANK(card_database!$AN$49),-1,card_database!$AN$49)</f>
        <v>-1</v>
      </c>
      <c r="AO49">
        <f>IF(ISBLANK(card_database!$AO$49),-1,MATCH(card_database!$AO$49,条件, 0) - 1)</f>
        <v>-1</v>
      </c>
      <c r="AP49">
        <f>IF(ISBLANK(card_database!$AP$49),-1,card_database!$AP$49)</f>
        <v>-1</v>
      </c>
      <c r="AQ49">
        <f>IF(ISBLANK(card_database!$AQ$49),-1,card_database!$AQ$49)</f>
        <v>-1</v>
      </c>
      <c r="AR49">
        <f>IF(ISBLANK(card_database!$AR$49),-1,MATCH(card_database!$AR$49,わざ, 0) - 1)</f>
        <v>-1</v>
      </c>
      <c r="AS49">
        <f>IF(ISBLANK(card_database!$AS$49),-1,card_database!$AS$49)</f>
        <v>-1</v>
      </c>
      <c r="AT49">
        <f>IF(ISBLANK(card_database!$AT$49),-1,card_database!$AT$49)</f>
        <v>-1</v>
      </c>
      <c r="AU49">
        <f>IF(ISBLANK(card_database!$AU$49),-1,MATCH(card_database!$AU$49,条件, 0) - 1)</f>
        <v>-1</v>
      </c>
      <c r="AV49">
        <f>IF(ISBLANK(card_database!$AV$49),-1,card_database!$AV$49)</f>
        <v>-1</v>
      </c>
      <c r="AW49">
        <f>IF(ISBLANK(card_database!$AW$49),-1,card_database!$AW$49)</f>
        <v>-1</v>
      </c>
      <c r="AX49">
        <f>IF(ISBLANK(card_database!$AX$49),-1,MATCH(card_database!$AX$49,わざ, 0) - 1)</f>
        <v>-1</v>
      </c>
      <c r="AY49">
        <f>IF(ISBLANK(card_database!$AY$49),-1,card_database!$AY$49)</f>
        <v>-1</v>
      </c>
      <c r="AZ49">
        <f>IF(ISBLANK(card_database!$AZ$49),-1,card_database!$AZ$49)</f>
        <v>-1</v>
      </c>
      <c r="BA49">
        <f>IF(ISBLANK(card_database!$BA$49),-1,MATCH(card_database!$BA$49,条件, 0) - 1)</f>
        <v>-1</v>
      </c>
      <c r="BB49">
        <f>IF(ISBLANK(card_database!$BB$49),-1,card_database!$BB$49)</f>
        <v>-1</v>
      </c>
      <c r="BC49">
        <f>IF(ISBLANK(card_database!$BC$49),-1,card_database!$BC$49)</f>
        <v>-1</v>
      </c>
      <c r="BD49">
        <f>IF(ISBLANK(card_database!$BD$49),-1,MATCH(card_database!$BD$49,わざ, 0) - 1)</f>
        <v>-1</v>
      </c>
      <c r="BE49">
        <f>IF(ISBLANK(card_database!$BE$49),-1,card_database!$BE$49)</f>
        <v>-1</v>
      </c>
      <c r="BF49">
        <f>IF(ISBLANK(card_database!$BF$49),-1,card_database!$BF$49)</f>
        <v>-1</v>
      </c>
      <c r="BG49">
        <f>IF(ISBLANK(card_database!$BG$49),-1,card_database!$BG$49)</f>
        <v>-1</v>
      </c>
      <c r="BH49">
        <f>IF(ISBLANK(card_database!$BB$49),-1,card_database!$BB$49)</f>
        <v>-1</v>
      </c>
      <c r="BI49">
        <f>IF(ISBLANK(card_database!$BC$49),-1,card_database!$BC$49)</f>
        <v>-1</v>
      </c>
      <c r="BJ49">
        <f>IF(ISBLANK(card_database!$BD$49),-1,MATCH(card_database!$BD$49,わざ, 0) - 1)</f>
        <v>-1</v>
      </c>
    </row>
    <row r="50" spans="1:62" x14ac:dyDescent="0.55000000000000004">
      <c r="A50">
        <f>IF(ISBLANK(card_database!$A$50),-1,card_database!$A$50)</f>
        <v>44</v>
      </c>
      <c r="B50" t="str">
        <f>IF(ISBLANK(card_database!$B$50),-1,card_database!$B$50)</f>
        <v>炎の騎士 キラー</v>
      </c>
      <c r="C50" t="str">
        <f>IF(ISBLANK(card_database!$C$50),-1,card_database!$C$50)</f>
        <v>「モンスター・エッグ」＋「スティング」</v>
      </c>
      <c r="D50">
        <f>IF(ISBLANK(card_database!$D$50),-1,card_database!$D$50)</f>
        <v>44</v>
      </c>
      <c r="E50">
        <f>IF(ISBLANK(card_database!$E$50),-1,MATCH(card_database!$E$50,タイプ, 0) - 1)</f>
        <v>-1</v>
      </c>
      <c r="F50">
        <f>IF(ISBLANK(card_database!$F$50),-1,MATCH(card_database!$F$50,タイプ詳細, 0) - 1)</f>
        <v>-1</v>
      </c>
      <c r="G50">
        <f>IF(ISBLANK(card_database!$G$50),-1,card_database!$G$50)</f>
        <v>-1</v>
      </c>
      <c r="H50">
        <f>IF(ISBLANK(card_database!$H$50),-1,card_database!$H$50)</f>
        <v>-1</v>
      </c>
      <c r="I50">
        <f>IF(ISBLANK(card_database!$I$50),-1,MATCH(card_database!$I$50,属性, 0) - 1)</f>
        <v>-1</v>
      </c>
      <c r="J50">
        <f>IF(ISBLANK(card_database!$J$50),-1,MATCH(card_database!$J$50,種族, 0) - 1)</f>
        <v>-1</v>
      </c>
      <c r="K50">
        <f>IF(ISBLANK(card_database!$K$50),-1,card_database!$K$50)</f>
        <v>-1</v>
      </c>
      <c r="L50">
        <f>IF(ISBLANK(card_database!$L$50),-1,card_database!$L$50)</f>
        <v>-1</v>
      </c>
      <c r="M50">
        <f>IF(ISBLANK(card_database!$M$50),-1,card_database!$M$50)</f>
        <v>-1</v>
      </c>
      <c r="N50">
        <f>IF(ISBLANK(card_database!$N$50),-1,card_database!$N$50)</f>
        <v>-1</v>
      </c>
      <c r="O50">
        <f>IF(ISBLANK(card_database!$O$50),-1,card_database!$O$50)</f>
        <v>-1</v>
      </c>
      <c r="P50">
        <f>IF(ISBLANK(card_database!$P$50),-1,MATCH(card_database!$P$50,条件, 0) - 1)</f>
        <v>-1</v>
      </c>
      <c r="Q50">
        <f>IF(ISBLANK(card_database!$Q$50),-1,MATCH(card_database!$Q$50,条件, 0) - 1)</f>
        <v>-1</v>
      </c>
      <c r="R50">
        <f>IF(ISBLANK(card_database!$R$50),-1,card_database!$R$50)</f>
        <v>-1</v>
      </c>
      <c r="S50">
        <f>IF(ISBLANK(card_database!$S$50),-1,card_database!$S$50)</f>
        <v>-1</v>
      </c>
      <c r="T50">
        <f>IF(ISBLANK(card_database!$T$50),-1,MATCH(card_database!$T$50,効果, 0) - 1)</f>
        <v>-1</v>
      </c>
      <c r="U50">
        <f>IF(ISBLANK(card_database!$U$50),-1,card_database!$U$50)</f>
        <v>-1</v>
      </c>
      <c r="V50">
        <f>IF(ISBLANK(card_database!$V$50),-1,card_database!$V$50)</f>
        <v>-1</v>
      </c>
      <c r="W50">
        <f>IF(ISBLANK(card_database!$W$50),-1,MATCH(card_database!$W$50,条件, 0) - 1)</f>
        <v>-1</v>
      </c>
      <c r="X50">
        <f>IF(ISBLANK(card_database!$X$50),-1,card_database!$X$50)</f>
        <v>-1</v>
      </c>
      <c r="Y50">
        <f>IF(ISBLANK(card_database!$Y$50),-1,card_database!$Y$50)</f>
        <v>-1</v>
      </c>
      <c r="Z50">
        <f>IF(ISBLANK(card_database!$Z$50),-1,MATCH(card_database!$Z$50,効果, 0) - 1)</f>
        <v>-1</v>
      </c>
      <c r="AA50">
        <f>IF(ISBLANK(card_database!$AA$50),-1,card_database!$AA$50)</f>
        <v>-1</v>
      </c>
      <c r="AB50">
        <f>IF(ISBLANK(card_database!$AB$50),-1,card_database!$AB$50)</f>
        <v>-1</v>
      </c>
      <c r="AC50">
        <f>IF(ISBLANK(card_database!$AC$50),-1,MATCH(card_database!$AC$50,条件, 0) - 1)</f>
        <v>-1</v>
      </c>
      <c r="AD50">
        <f>IF(ISBLANK(card_database!$AD$50),-1,card_database!$AD$50)</f>
        <v>-1</v>
      </c>
      <c r="AE50">
        <f>IF(ISBLANK(card_database!$AE$50),-1,card_database!$AE$50)</f>
        <v>-1</v>
      </c>
      <c r="AF50">
        <f>IF(ISBLANK(card_database!$AF$50),-1,MATCH(card_database!$AF$50,効果, 0) - 1)</f>
        <v>-1</v>
      </c>
      <c r="AG50">
        <f>IF(ISBLANK(card_database!$AG$50),-1,card_database!$AG$50)</f>
        <v>-1</v>
      </c>
      <c r="AH50">
        <f>IF(ISBLANK(card_database!$AH$50),-1,card_database!$AH$50)</f>
        <v>-1</v>
      </c>
      <c r="AI50">
        <f>IF(ISBLANK(card_database!$AI$50),-1,MATCH(card_database!$AI$50,条件, 0) - 1)</f>
        <v>-1</v>
      </c>
      <c r="AJ50">
        <f>IF(ISBLANK(card_database!$AJ$50),-1,card_database!$AJ$50)</f>
        <v>-1</v>
      </c>
      <c r="AK50">
        <f>IF(ISBLANK(card_database!$AK$50),-1,card_database!$AK$50)</f>
        <v>-1</v>
      </c>
      <c r="AL50">
        <f>IF(ISBLANK(card_database!$AL$50),-1,MATCH(card_database!$AL$50,わざ, 0) - 1)</f>
        <v>-1</v>
      </c>
      <c r="AM50">
        <f>IF(ISBLANK(card_database!$AM$50),-1,card_database!$AM$50)</f>
        <v>-1</v>
      </c>
      <c r="AN50">
        <f>IF(ISBLANK(card_database!$AN$50),-1,card_database!$AN$50)</f>
        <v>-1</v>
      </c>
      <c r="AO50">
        <f>IF(ISBLANK(card_database!$AO$50),-1,MATCH(card_database!$AO$50,条件, 0) - 1)</f>
        <v>-1</v>
      </c>
      <c r="AP50">
        <f>IF(ISBLANK(card_database!$AP$50),-1,card_database!$AP$50)</f>
        <v>-1</v>
      </c>
      <c r="AQ50">
        <f>IF(ISBLANK(card_database!$AQ$50),-1,card_database!$AQ$50)</f>
        <v>-1</v>
      </c>
      <c r="AR50">
        <f>IF(ISBLANK(card_database!$AR$50),-1,MATCH(card_database!$AR$50,わざ, 0) - 1)</f>
        <v>-1</v>
      </c>
      <c r="AS50">
        <f>IF(ISBLANK(card_database!$AS$50),-1,card_database!$AS$50)</f>
        <v>-1</v>
      </c>
      <c r="AT50">
        <f>IF(ISBLANK(card_database!$AT$50),-1,card_database!$AT$50)</f>
        <v>-1</v>
      </c>
      <c r="AU50">
        <f>IF(ISBLANK(card_database!$AU$50),-1,MATCH(card_database!$AU$50,条件, 0) - 1)</f>
        <v>-1</v>
      </c>
      <c r="AV50">
        <f>IF(ISBLANK(card_database!$AV$50),-1,card_database!$AV$50)</f>
        <v>-1</v>
      </c>
      <c r="AW50">
        <f>IF(ISBLANK(card_database!$AW$50),-1,card_database!$AW$50)</f>
        <v>-1</v>
      </c>
      <c r="AX50">
        <f>IF(ISBLANK(card_database!$AX$50),-1,MATCH(card_database!$AX$50,わざ, 0) - 1)</f>
        <v>-1</v>
      </c>
      <c r="AY50">
        <f>IF(ISBLANK(card_database!$AY$50),-1,card_database!$AY$50)</f>
        <v>-1</v>
      </c>
      <c r="AZ50">
        <f>IF(ISBLANK(card_database!$AZ$50),-1,card_database!$AZ$50)</f>
        <v>-1</v>
      </c>
      <c r="BA50">
        <f>IF(ISBLANK(card_database!$BA$50),-1,MATCH(card_database!$BA$50,条件, 0) - 1)</f>
        <v>-1</v>
      </c>
      <c r="BB50">
        <f>IF(ISBLANK(card_database!$BB$50),-1,card_database!$BB$50)</f>
        <v>-1</v>
      </c>
      <c r="BC50">
        <f>IF(ISBLANK(card_database!$BC$50),-1,card_database!$BC$50)</f>
        <v>-1</v>
      </c>
      <c r="BD50">
        <f>IF(ISBLANK(card_database!$BD$50),-1,MATCH(card_database!$BD$50,わざ, 0) - 1)</f>
        <v>-1</v>
      </c>
      <c r="BE50">
        <f>IF(ISBLANK(card_database!$BE$50),-1,card_database!$BE$50)</f>
        <v>-1</v>
      </c>
      <c r="BF50">
        <f>IF(ISBLANK(card_database!$BF$50),-1,card_database!$BF$50)</f>
        <v>-1</v>
      </c>
      <c r="BG50">
        <f>IF(ISBLANK(card_database!$BG$50),-1,card_database!$BG$50)</f>
        <v>-1</v>
      </c>
      <c r="BH50">
        <f>IF(ISBLANK(card_database!$BB$50),-1,card_database!$BB$50)</f>
        <v>-1</v>
      </c>
      <c r="BI50">
        <f>IF(ISBLANK(card_database!$BC$50),-1,card_database!$BC$50)</f>
        <v>-1</v>
      </c>
      <c r="BJ50">
        <f>IF(ISBLANK(card_database!$BD$50),-1,MATCH(card_database!$BD$50,わざ, 0) - 1)</f>
        <v>-1</v>
      </c>
    </row>
    <row r="51" spans="1:62" x14ac:dyDescent="0.55000000000000004">
      <c r="A51">
        <f>IF(ISBLANK(card_database!$A$51),-1,card_database!$A$51)</f>
        <v>45</v>
      </c>
      <c r="B51" t="str">
        <f>IF(ISBLANK(card_database!$B$51),-1,card_database!$B$51)</f>
        <v>炎の剣士</v>
      </c>
      <c r="C51" t="str">
        <f>IF(ISBLANK(card_database!$C$51),-1,card_database!$C$51)</f>
        <v>「炎を操る者」＋「伝説の剣豪ＭＡＳＡＫＩ」</v>
      </c>
      <c r="D51">
        <f>IF(ISBLANK(card_database!$D$51),-1,card_database!$D$51)</f>
        <v>45</v>
      </c>
      <c r="E51">
        <f>IF(ISBLANK(card_database!$E$51),-1,MATCH(card_database!$E$51,タイプ, 0) - 1)</f>
        <v>-1</v>
      </c>
      <c r="F51">
        <f>IF(ISBLANK(card_database!$F$51),-1,MATCH(card_database!$F$51,タイプ詳細, 0) - 1)</f>
        <v>-1</v>
      </c>
      <c r="G51">
        <f>IF(ISBLANK(card_database!$G$51),-1,card_database!$G$51)</f>
        <v>-1</v>
      </c>
      <c r="H51">
        <f>IF(ISBLANK(card_database!$H$51),-1,card_database!$H$51)</f>
        <v>-1</v>
      </c>
      <c r="I51">
        <f>IF(ISBLANK(card_database!$I$51),-1,MATCH(card_database!$I$51,属性, 0) - 1)</f>
        <v>-1</v>
      </c>
      <c r="J51">
        <f>IF(ISBLANK(card_database!$J$51),-1,MATCH(card_database!$J$51,種族, 0) - 1)</f>
        <v>-1</v>
      </c>
      <c r="K51">
        <f>IF(ISBLANK(card_database!$K$51),-1,card_database!$K$51)</f>
        <v>-1</v>
      </c>
      <c r="L51">
        <f>IF(ISBLANK(card_database!$L$51),-1,card_database!$L$51)</f>
        <v>-1</v>
      </c>
      <c r="M51">
        <f>IF(ISBLANK(card_database!$M$51),-1,card_database!$M$51)</f>
        <v>-1</v>
      </c>
      <c r="N51">
        <f>IF(ISBLANK(card_database!$N$51),-1,card_database!$N$51)</f>
        <v>-1</v>
      </c>
      <c r="O51">
        <f>IF(ISBLANK(card_database!$O$51),-1,card_database!$O$51)</f>
        <v>-1</v>
      </c>
      <c r="P51">
        <f>IF(ISBLANK(card_database!$P$51),-1,MATCH(card_database!$P$51,条件, 0) - 1)</f>
        <v>-1</v>
      </c>
      <c r="Q51">
        <f>IF(ISBLANK(card_database!$Q$51),-1,MATCH(card_database!$Q$51,条件, 0) - 1)</f>
        <v>-1</v>
      </c>
      <c r="R51">
        <f>IF(ISBLANK(card_database!$R$51),-1,card_database!$R$51)</f>
        <v>-1</v>
      </c>
      <c r="S51">
        <f>IF(ISBLANK(card_database!$S$51),-1,card_database!$S$51)</f>
        <v>-1</v>
      </c>
      <c r="T51">
        <f>IF(ISBLANK(card_database!$T$51),-1,MATCH(card_database!$T$51,効果, 0) - 1)</f>
        <v>-1</v>
      </c>
      <c r="U51">
        <f>IF(ISBLANK(card_database!$U$51),-1,card_database!$U$51)</f>
        <v>-1</v>
      </c>
      <c r="V51">
        <f>IF(ISBLANK(card_database!$V$51),-1,card_database!$V$51)</f>
        <v>-1</v>
      </c>
      <c r="W51">
        <f>IF(ISBLANK(card_database!$W$51),-1,MATCH(card_database!$W$51,条件, 0) - 1)</f>
        <v>-1</v>
      </c>
      <c r="X51">
        <f>IF(ISBLANK(card_database!$X$51),-1,card_database!$X$51)</f>
        <v>-1</v>
      </c>
      <c r="Y51">
        <f>IF(ISBLANK(card_database!$Y$51),-1,card_database!$Y$51)</f>
        <v>-1</v>
      </c>
      <c r="Z51">
        <f>IF(ISBLANK(card_database!$Z$51),-1,MATCH(card_database!$Z$51,効果, 0) - 1)</f>
        <v>-1</v>
      </c>
      <c r="AA51">
        <f>IF(ISBLANK(card_database!$AA$51),-1,card_database!$AA$51)</f>
        <v>-1</v>
      </c>
      <c r="AB51">
        <f>IF(ISBLANK(card_database!$AB$51),-1,card_database!$AB$51)</f>
        <v>-1</v>
      </c>
      <c r="AC51">
        <f>IF(ISBLANK(card_database!$AC$51),-1,MATCH(card_database!$AC$51,条件, 0) - 1)</f>
        <v>-1</v>
      </c>
      <c r="AD51">
        <f>IF(ISBLANK(card_database!$AD$51),-1,card_database!$AD$51)</f>
        <v>-1</v>
      </c>
      <c r="AE51">
        <f>IF(ISBLANK(card_database!$AE$51),-1,card_database!$AE$51)</f>
        <v>-1</v>
      </c>
      <c r="AF51">
        <f>IF(ISBLANK(card_database!$AF$51),-1,MATCH(card_database!$AF$51,効果, 0) - 1)</f>
        <v>-1</v>
      </c>
      <c r="AG51">
        <f>IF(ISBLANK(card_database!$AG$51),-1,card_database!$AG$51)</f>
        <v>-1</v>
      </c>
      <c r="AH51">
        <f>IF(ISBLANK(card_database!$AH$51),-1,card_database!$AH$51)</f>
        <v>-1</v>
      </c>
      <c r="AI51">
        <f>IF(ISBLANK(card_database!$AI$51),-1,MATCH(card_database!$AI$51,条件, 0) - 1)</f>
        <v>-1</v>
      </c>
      <c r="AJ51">
        <f>IF(ISBLANK(card_database!$AJ$51),-1,card_database!$AJ$51)</f>
        <v>-1</v>
      </c>
      <c r="AK51">
        <f>IF(ISBLANK(card_database!$AK$51),-1,card_database!$AK$51)</f>
        <v>-1</v>
      </c>
      <c r="AL51">
        <f>IF(ISBLANK(card_database!$AL$51),-1,MATCH(card_database!$AL$51,わざ, 0) - 1)</f>
        <v>-1</v>
      </c>
      <c r="AM51">
        <f>IF(ISBLANK(card_database!$AM$51),-1,card_database!$AM$51)</f>
        <v>-1</v>
      </c>
      <c r="AN51">
        <f>IF(ISBLANK(card_database!$AN$51),-1,card_database!$AN$51)</f>
        <v>-1</v>
      </c>
      <c r="AO51">
        <f>IF(ISBLANK(card_database!$AO$51),-1,MATCH(card_database!$AO$51,条件, 0) - 1)</f>
        <v>-1</v>
      </c>
      <c r="AP51">
        <f>IF(ISBLANK(card_database!$AP$51),-1,card_database!$AP$51)</f>
        <v>-1</v>
      </c>
      <c r="AQ51">
        <f>IF(ISBLANK(card_database!$AQ$51),-1,card_database!$AQ$51)</f>
        <v>-1</v>
      </c>
      <c r="AR51">
        <f>IF(ISBLANK(card_database!$AR$51),-1,MATCH(card_database!$AR$51,わざ, 0) - 1)</f>
        <v>-1</v>
      </c>
      <c r="AS51">
        <f>IF(ISBLANK(card_database!$AS$51),-1,card_database!$AS$51)</f>
        <v>-1</v>
      </c>
      <c r="AT51">
        <f>IF(ISBLANK(card_database!$AT$51),-1,card_database!$AT$51)</f>
        <v>-1</v>
      </c>
      <c r="AU51">
        <f>IF(ISBLANK(card_database!$AU$51),-1,MATCH(card_database!$AU$51,条件, 0) - 1)</f>
        <v>-1</v>
      </c>
      <c r="AV51">
        <f>IF(ISBLANK(card_database!$AV$51),-1,card_database!$AV$51)</f>
        <v>-1</v>
      </c>
      <c r="AW51">
        <f>IF(ISBLANK(card_database!$AW$51),-1,card_database!$AW$51)</f>
        <v>-1</v>
      </c>
      <c r="AX51">
        <f>IF(ISBLANK(card_database!$AX$51),-1,MATCH(card_database!$AX$51,わざ, 0) - 1)</f>
        <v>-1</v>
      </c>
      <c r="AY51">
        <f>IF(ISBLANK(card_database!$AY$51),-1,card_database!$AY$51)</f>
        <v>-1</v>
      </c>
      <c r="AZ51">
        <f>IF(ISBLANK(card_database!$AZ$51),-1,card_database!$AZ$51)</f>
        <v>-1</v>
      </c>
      <c r="BA51">
        <f>IF(ISBLANK(card_database!$BA$51),-1,MATCH(card_database!$BA$51,条件, 0) - 1)</f>
        <v>-1</v>
      </c>
      <c r="BB51">
        <f>IF(ISBLANK(card_database!$BB$51),-1,card_database!$BB$51)</f>
        <v>-1</v>
      </c>
      <c r="BC51">
        <f>IF(ISBLANK(card_database!$BC$51),-1,card_database!$BC$51)</f>
        <v>-1</v>
      </c>
      <c r="BD51">
        <f>IF(ISBLANK(card_database!$BD$51),-1,MATCH(card_database!$BD$51,わざ, 0) - 1)</f>
        <v>-1</v>
      </c>
      <c r="BE51">
        <f>IF(ISBLANK(card_database!$BE$51),-1,card_database!$BE$51)</f>
        <v>-1</v>
      </c>
      <c r="BF51">
        <f>IF(ISBLANK(card_database!$BF$51),-1,card_database!$BF$51)</f>
        <v>-1</v>
      </c>
      <c r="BG51">
        <f>IF(ISBLANK(card_database!$BG$51),-1,card_database!$BG$51)</f>
        <v>-1</v>
      </c>
      <c r="BH51">
        <f>IF(ISBLANK(card_database!$BB$51),-1,card_database!$BB$51)</f>
        <v>-1</v>
      </c>
      <c r="BI51">
        <f>IF(ISBLANK(card_database!$BC$51),-1,card_database!$BC$51)</f>
        <v>-1</v>
      </c>
      <c r="BJ51">
        <f>IF(ISBLANK(card_database!$BD$51),-1,MATCH(card_database!$BD$51,わざ, 0) - 1)</f>
        <v>-1</v>
      </c>
    </row>
    <row r="52" spans="1:62" x14ac:dyDescent="0.55000000000000004">
      <c r="A52">
        <f>IF(ISBLANK(card_database!$A$52),-1,card_database!$A$52)</f>
        <v>46</v>
      </c>
      <c r="B52" t="str">
        <f>IF(ISBLANK(card_database!$B$52),-1,card_database!$B$52)</f>
        <v>海</v>
      </c>
      <c r="C52" t="str">
        <f>IF(ISBLANK(card_database!$C$52),-1,card_database!$C$52)</f>
        <v>全ての魚・海竜・雷・水族モンスターの攻撃力と守備力は、２００ポイントアップする。機械・炎族モンスターの攻撃力と守備力は、２００ポイントダウンする。</v>
      </c>
      <c r="D52">
        <f>IF(ISBLANK(card_database!$D$52),-1,card_database!$D$52)</f>
        <v>46</v>
      </c>
      <c r="E52">
        <f>IF(ISBLANK(card_database!$E$52),-1,MATCH(card_database!$E$52,タイプ, 0) - 1)</f>
        <v>-1</v>
      </c>
      <c r="F52">
        <f>IF(ISBLANK(card_database!$F$52),-1,MATCH(card_database!$F$52,タイプ詳細, 0) - 1)</f>
        <v>-1</v>
      </c>
      <c r="G52">
        <f>IF(ISBLANK(card_database!$G$52),-1,card_database!$G$52)</f>
        <v>-1</v>
      </c>
      <c r="H52">
        <f>IF(ISBLANK(card_database!$H$52),-1,card_database!$H$52)</f>
        <v>-1</v>
      </c>
      <c r="I52">
        <f>IF(ISBLANK(card_database!$I$52),-1,MATCH(card_database!$I$52,属性, 0) - 1)</f>
        <v>-1</v>
      </c>
      <c r="J52">
        <f>IF(ISBLANK(card_database!$J$52),-1,MATCH(card_database!$J$52,種族, 0) - 1)</f>
        <v>-1</v>
      </c>
      <c r="K52">
        <f>IF(ISBLANK(card_database!$K$52),-1,card_database!$K$52)</f>
        <v>-1</v>
      </c>
      <c r="L52">
        <f>IF(ISBLANK(card_database!$L$52),-1,card_database!$L$52)</f>
        <v>-1</v>
      </c>
      <c r="M52">
        <f>IF(ISBLANK(card_database!$M$52),-1,card_database!$M$52)</f>
        <v>-1</v>
      </c>
      <c r="N52">
        <f>IF(ISBLANK(card_database!$N$52),-1,card_database!$N$52)</f>
        <v>-1</v>
      </c>
      <c r="O52">
        <f>IF(ISBLANK(card_database!$O$52),-1,card_database!$O$52)</f>
        <v>-1</v>
      </c>
      <c r="P52">
        <f>IF(ISBLANK(card_database!$P$52),-1,MATCH(card_database!$P$52,条件, 0) - 1)</f>
        <v>-1</v>
      </c>
      <c r="Q52">
        <f>IF(ISBLANK(card_database!$Q$52),-1,MATCH(card_database!$Q$52,条件, 0) - 1)</f>
        <v>-1</v>
      </c>
      <c r="R52">
        <f>IF(ISBLANK(card_database!$R$52),-1,card_database!$R$52)</f>
        <v>-1</v>
      </c>
      <c r="S52">
        <f>IF(ISBLANK(card_database!$S$52),-1,card_database!$S$52)</f>
        <v>-1</v>
      </c>
      <c r="T52">
        <f>IF(ISBLANK(card_database!$T$52),-1,MATCH(card_database!$T$52,効果, 0) - 1)</f>
        <v>-1</v>
      </c>
      <c r="U52">
        <f>IF(ISBLANK(card_database!$U$52),-1,card_database!$U$52)</f>
        <v>-1</v>
      </c>
      <c r="V52">
        <f>IF(ISBLANK(card_database!$V$52),-1,card_database!$V$52)</f>
        <v>-1</v>
      </c>
      <c r="W52">
        <f>IF(ISBLANK(card_database!$W$52),-1,MATCH(card_database!$W$52,条件, 0) - 1)</f>
        <v>-1</v>
      </c>
      <c r="X52">
        <f>IF(ISBLANK(card_database!$X$52),-1,card_database!$X$52)</f>
        <v>-1</v>
      </c>
      <c r="Y52">
        <f>IF(ISBLANK(card_database!$Y$52),-1,card_database!$Y$52)</f>
        <v>-1</v>
      </c>
      <c r="Z52">
        <f>IF(ISBLANK(card_database!$Z$52),-1,MATCH(card_database!$Z$52,効果, 0) - 1)</f>
        <v>-1</v>
      </c>
      <c r="AA52">
        <f>IF(ISBLANK(card_database!$AA$52),-1,card_database!$AA$52)</f>
        <v>-1</v>
      </c>
      <c r="AB52">
        <f>IF(ISBLANK(card_database!$AB$52),-1,card_database!$AB$52)</f>
        <v>-1</v>
      </c>
      <c r="AC52">
        <f>IF(ISBLANK(card_database!$AC$52),-1,MATCH(card_database!$AC$52,条件, 0) - 1)</f>
        <v>-1</v>
      </c>
      <c r="AD52">
        <f>IF(ISBLANK(card_database!$AD$52),-1,card_database!$AD$52)</f>
        <v>-1</v>
      </c>
      <c r="AE52">
        <f>IF(ISBLANK(card_database!$AE$52),-1,card_database!$AE$52)</f>
        <v>-1</v>
      </c>
      <c r="AF52">
        <f>IF(ISBLANK(card_database!$AF$52),-1,MATCH(card_database!$AF$52,効果, 0) - 1)</f>
        <v>-1</v>
      </c>
      <c r="AG52">
        <f>IF(ISBLANK(card_database!$AG$52),-1,card_database!$AG$52)</f>
        <v>-1</v>
      </c>
      <c r="AH52">
        <f>IF(ISBLANK(card_database!$AH$52),-1,card_database!$AH$52)</f>
        <v>-1</v>
      </c>
      <c r="AI52">
        <f>IF(ISBLANK(card_database!$AI$52),-1,MATCH(card_database!$AI$52,条件, 0) - 1)</f>
        <v>-1</v>
      </c>
      <c r="AJ52">
        <f>IF(ISBLANK(card_database!$AJ$52),-1,card_database!$AJ$52)</f>
        <v>-1</v>
      </c>
      <c r="AK52">
        <f>IF(ISBLANK(card_database!$AK$52),-1,card_database!$AK$52)</f>
        <v>-1</v>
      </c>
      <c r="AL52">
        <f>IF(ISBLANK(card_database!$AL$52),-1,MATCH(card_database!$AL$52,わざ, 0) - 1)</f>
        <v>-1</v>
      </c>
      <c r="AM52">
        <f>IF(ISBLANK(card_database!$AM$52),-1,card_database!$AM$52)</f>
        <v>-1</v>
      </c>
      <c r="AN52">
        <f>IF(ISBLANK(card_database!$AN$52),-1,card_database!$AN$52)</f>
        <v>-1</v>
      </c>
      <c r="AO52">
        <f>IF(ISBLANK(card_database!$AO$52),-1,MATCH(card_database!$AO$52,条件, 0) - 1)</f>
        <v>-1</v>
      </c>
      <c r="AP52">
        <f>IF(ISBLANK(card_database!$AP$52),-1,card_database!$AP$52)</f>
        <v>-1</v>
      </c>
      <c r="AQ52">
        <f>IF(ISBLANK(card_database!$AQ$52),-1,card_database!$AQ$52)</f>
        <v>-1</v>
      </c>
      <c r="AR52">
        <f>IF(ISBLANK(card_database!$AR$52),-1,MATCH(card_database!$AR$52,わざ, 0) - 1)</f>
        <v>-1</v>
      </c>
      <c r="AS52">
        <f>IF(ISBLANK(card_database!$AS$52),-1,card_database!$AS$52)</f>
        <v>-1</v>
      </c>
      <c r="AT52">
        <f>IF(ISBLANK(card_database!$AT$52),-1,card_database!$AT$52)</f>
        <v>-1</v>
      </c>
      <c r="AU52">
        <f>IF(ISBLANK(card_database!$AU$52),-1,MATCH(card_database!$AU$52,条件, 0) - 1)</f>
        <v>-1</v>
      </c>
      <c r="AV52">
        <f>IF(ISBLANK(card_database!$AV$52),-1,card_database!$AV$52)</f>
        <v>-1</v>
      </c>
      <c r="AW52">
        <f>IF(ISBLANK(card_database!$AW$52),-1,card_database!$AW$52)</f>
        <v>-1</v>
      </c>
      <c r="AX52">
        <f>IF(ISBLANK(card_database!$AX$52),-1,MATCH(card_database!$AX$52,わざ, 0) - 1)</f>
        <v>-1</v>
      </c>
      <c r="AY52">
        <f>IF(ISBLANK(card_database!$AY$52),-1,card_database!$AY$52)</f>
        <v>-1</v>
      </c>
      <c r="AZ52">
        <f>IF(ISBLANK(card_database!$AZ$52),-1,card_database!$AZ$52)</f>
        <v>-1</v>
      </c>
      <c r="BA52">
        <f>IF(ISBLANK(card_database!$BA$52),-1,MATCH(card_database!$BA$52,条件, 0) - 1)</f>
        <v>-1</v>
      </c>
      <c r="BB52">
        <f>IF(ISBLANK(card_database!$BB$52),-1,card_database!$BB$52)</f>
        <v>-1</v>
      </c>
      <c r="BC52">
        <f>IF(ISBLANK(card_database!$BC$52),-1,card_database!$BC$52)</f>
        <v>-1</v>
      </c>
      <c r="BD52">
        <f>IF(ISBLANK(card_database!$BD$52),-1,MATCH(card_database!$BD$52,わざ, 0) - 1)</f>
        <v>-1</v>
      </c>
      <c r="BE52">
        <f>IF(ISBLANK(card_database!$BE$52),-1,card_database!$BE$52)</f>
        <v>-1</v>
      </c>
      <c r="BF52">
        <f>IF(ISBLANK(card_database!$BF$52),-1,card_database!$BF$52)</f>
        <v>-1</v>
      </c>
      <c r="BG52">
        <f>IF(ISBLANK(card_database!$BG$52),-1,card_database!$BG$52)</f>
        <v>-1</v>
      </c>
      <c r="BH52">
        <f>IF(ISBLANK(card_database!$BB$52),-1,card_database!$BB$52)</f>
        <v>-1</v>
      </c>
      <c r="BI52">
        <f>IF(ISBLANK(card_database!$BC$52),-1,card_database!$BC$52)</f>
        <v>-1</v>
      </c>
      <c r="BJ52">
        <f>IF(ISBLANK(card_database!$BD$52),-1,MATCH(card_database!$BD$52,わざ, 0) - 1)</f>
        <v>-1</v>
      </c>
    </row>
    <row r="53" spans="1:62" x14ac:dyDescent="0.55000000000000004">
      <c r="A53">
        <f>IF(ISBLANK(card_database!$A$53),-1,card_database!$A$53)</f>
        <v>47</v>
      </c>
      <c r="B53" t="str">
        <f>IF(ISBLANK(card_database!$B$53),-1,card_database!$B$53)</f>
        <v>荒野</v>
      </c>
      <c r="C53" t="str">
        <f>IF(ISBLANK(card_database!$C$53),-1,card_database!$C$53)</f>
        <v>全ての恐竜・アンデット・岩石族モンスターの攻撃力と守備力は、２００ポイントアップする。</v>
      </c>
      <c r="D53">
        <f>IF(ISBLANK(card_database!$D$53),-1,card_database!$D$53)</f>
        <v>47</v>
      </c>
      <c r="E53">
        <f>IF(ISBLANK(card_database!$E$53),-1,MATCH(card_database!$E$53,タイプ, 0) - 1)</f>
        <v>-1</v>
      </c>
      <c r="F53">
        <f>IF(ISBLANK(card_database!$F$53),-1,MATCH(card_database!$F$53,タイプ詳細, 0) - 1)</f>
        <v>-1</v>
      </c>
      <c r="G53">
        <f>IF(ISBLANK(card_database!$G$53),-1,card_database!$G$53)</f>
        <v>-1</v>
      </c>
      <c r="H53">
        <f>IF(ISBLANK(card_database!$H$53),-1,card_database!$H$53)</f>
        <v>-1</v>
      </c>
      <c r="I53">
        <f>IF(ISBLANK(card_database!$I$53),-1,MATCH(card_database!$I$53,属性, 0) - 1)</f>
        <v>-1</v>
      </c>
      <c r="J53">
        <f>IF(ISBLANK(card_database!$J$53),-1,MATCH(card_database!$J$53,種族, 0) - 1)</f>
        <v>-1</v>
      </c>
      <c r="K53">
        <f>IF(ISBLANK(card_database!$K$53),-1,card_database!$K$53)</f>
        <v>-1</v>
      </c>
      <c r="L53">
        <f>IF(ISBLANK(card_database!$L$53),-1,card_database!$L$53)</f>
        <v>-1</v>
      </c>
      <c r="M53">
        <f>IF(ISBLANK(card_database!$M$53),-1,card_database!$M$53)</f>
        <v>-1</v>
      </c>
      <c r="N53">
        <f>IF(ISBLANK(card_database!$N$53),-1,card_database!$N$53)</f>
        <v>-1</v>
      </c>
      <c r="O53">
        <f>IF(ISBLANK(card_database!$O$53),-1,card_database!$O$53)</f>
        <v>-1</v>
      </c>
      <c r="P53">
        <f>IF(ISBLANK(card_database!$P$53),-1,MATCH(card_database!$P$53,条件, 0) - 1)</f>
        <v>-1</v>
      </c>
      <c r="Q53">
        <f>IF(ISBLANK(card_database!$Q$53),-1,MATCH(card_database!$Q$53,条件, 0) - 1)</f>
        <v>-1</v>
      </c>
      <c r="R53">
        <f>IF(ISBLANK(card_database!$R$53),-1,card_database!$R$53)</f>
        <v>-1</v>
      </c>
      <c r="S53">
        <f>IF(ISBLANK(card_database!$S$53),-1,card_database!$S$53)</f>
        <v>-1</v>
      </c>
      <c r="T53">
        <f>IF(ISBLANK(card_database!$T$53),-1,MATCH(card_database!$T$53,効果, 0) - 1)</f>
        <v>-1</v>
      </c>
      <c r="U53">
        <f>IF(ISBLANK(card_database!$U$53),-1,card_database!$U$53)</f>
        <v>-1</v>
      </c>
      <c r="V53">
        <f>IF(ISBLANK(card_database!$V$53),-1,card_database!$V$53)</f>
        <v>-1</v>
      </c>
      <c r="W53">
        <f>IF(ISBLANK(card_database!$W$53),-1,MATCH(card_database!$W$53,条件, 0) - 1)</f>
        <v>-1</v>
      </c>
      <c r="X53">
        <f>IF(ISBLANK(card_database!$X$53),-1,card_database!$X$53)</f>
        <v>-1</v>
      </c>
      <c r="Y53">
        <f>IF(ISBLANK(card_database!$Y$53),-1,card_database!$Y$53)</f>
        <v>-1</v>
      </c>
      <c r="Z53">
        <f>IF(ISBLANK(card_database!$Z$53),-1,MATCH(card_database!$Z$53,効果, 0) - 1)</f>
        <v>-1</v>
      </c>
      <c r="AA53">
        <f>IF(ISBLANK(card_database!$AA$53),-1,card_database!$AA$53)</f>
        <v>-1</v>
      </c>
      <c r="AB53">
        <f>IF(ISBLANK(card_database!$AB$53),-1,card_database!$AB$53)</f>
        <v>-1</v>
      </c>
      <c r="AC53">
        <f>IF(ISBLANK(card_database!$AC$53),-1,MATCH(card_database!$AC$53,条件, 0) - 1)</f>
        <v>-1</v>
      </c>
      <c r="AD53">
        <f>IF(ISBLANK(card_database!$AD$53),-1,card_database!$AD$53)</f>
        <v>-1</v>
      </c>
      <c r="AE53">
        <f>IF(ISBLANK(card_database!$AE$53),-1,card_database!$AE$53)</f>
        <v>-1</v>
      </c>
      <c r="AF53">
        <f>IF(ISBLANK(card_database!$AF$53),-1,MATCH(card_database!$AF$53,効果, 0) - 1)</f>
        <v>-1</v>
      </c>
      <c r="AG53">
        <f>IF(ISBLANK(card_database!$AG$53),-1,card_database!$AG$53)</f>
        <v>-1</v>
      </c>
      <c r="AH53">
        <f>IF(ISBLANK(card_database!$AH$53),-1,card_database!$AH$53)</f>
        <v>-1</v>
      </c>
      <c r="AI53">
        <f>IF(ISBLANK(card_database!$AI$53),-1,MATCH(card_database!$AI$53,条件, 0) - 1)</f>
        <v>-1</v>
      </c>
      <c r="AJ53">
        <f>IF(ISBLANK(card_database!$AJ$53),-1,card_database!$AJ$53)</f>
        <v>-1</v>
      </c>
      <c r="AK53">
        <f>IF(ISBLANK(card_database!$AK$53),-1,card_database!$AK$53)</f>
        <v>-1</v>
      </c>
      <c r="AL53">
        <f>IF(ISBLANK(card_database!$AL$53),-1,MATCH(card_database!$AL$53,わざ, 0) - 1)</f>
        <v>-1</v>
      </c>
      <c r="AM53">
        <f>IF(ISBLANK(card_database!$AM$53),-1,card_database!$AM$53)</f>
        <v>-1</v>
      </c>
      <c r="AN53">
        <f>IF(ISBLANK(card_database!$AN$53),-1,card_database!$AN$53)</f>
        <v>-1</v>
      </c>
      <c r="AO53">
        <f>IF(ISBLANK(card_database!$AO$53),-1,MATCH(card_database!$AO$53,条件, 0) - 1)</f>
        <v>-1</v>
      </c>
      <c r="AP53">
        <f>IF(ISBLANK(card_database!$AP$53),-1,card_database!$AP$53)</f>
        <v>-1</v>
      </c>
      <c r="AQ53">
        <f>IF(ISBLANK(card_database!$AQ$53),-1,card_database!$AQ$53)</f>
        <v>-1</v>
      </c>
      <c r="AR53">
        <f>IF(ISBLANK(card_database!$AR$53),-1,MATCH(card_database!$AR$53,わざ, 0) - 1)</f>
        <v>-1</v>
      </c>
      <c r="AS53">
        <f>IF(ISBLANK(card_database!$AS$53),-1,card_database!$AS$53)</f>
        <v>-1</v>
      </c>
      <c r="AT53">
        <f>IF(ISBLANK(card_database!$AT$53),-1,card_database!$AT$53)</f>
        <v>-1</v>
      </c>
      <c r="AU53">
        <f>IF(ISBLANK(card_database!$AU$53),-1,MATCH(card_database!$AU$53,条件, 0) - 1)</f>
        <v>-1</v>
      </c>
      <c r="AV53">
        <f>IF(ISBLANK(card_database!$AV$53),-1,card_database!$AV$53)</f>
        <v>-1</v>
      </c>
      <c r="AW53">
        <f>IF(ISBLANK(card_database!$AW$53),-1,card_database!$AW$53)</f>
        <v>-1</v>
      </c>
      <c r="AX53">
        <f>IF(ISBLANK(card_database!$AX$53),-1,MATCH(card_database!$AX$53,わざ, 0) - 1)</f>
        <v>-1</v>
      </c>
      <c r="AY53">
        <f>IF(ISBLANK(card_database!$AY$53),-1,card_database!$AY$53)</f>
        <v>-1</v>
      </c>
      <c r="AZ53">
        <f>IF(ISBLANK(card_database!$AZ$53),-1,card_database!$AZ$53)</f>
        <v>-1</v>
      </c>
      <c r="BA53">
        <f>IF(ISBLANK(card_database!$BA$53),-1,MATCH(card_database!$BA$53,条件, 0) - 1)</f>
        <v>-1</v>
      </c>
      <c r="BB53">
        <f>IF(ISBLANK(card_database!$BB$53),-1,card_database!$BB$53)</f>
        <v>-1</v>
      </c>
      <c r="BC53">
        <f>IF(ISBLANK(card_database!$BC$53),-1,card_database!$BC$53)</f>
        <v>-1</v>
      </c>
      <c r="BD53">
        <f>IF(ISBLANK(card_database!$BD$53),-1,MATCH(card_database!$BD$53,わざ, 0) - 1)</f>
        <v>-1</v>
      </c>
      <c r="BE53">
        <f>IF(ISBLANK(card_database!$BE$53),-1,card_database!$BE$53)</f>
        <v>-1</v>
      </c>
      <c r="BF53">
        <f>IF(ISBLANK(card_database!$BF$53),-1,card_database!$BF$53)</f>
        <v>-1</v>
      </c>
      <c r="BG53">
        <f>IF(ISBLANK(card_database!$BG$53),-1,card_database!$BG$53)</f>
        <v>-1</v>
      </c>
      <c r="BH53">
        <f>IF(ISBLANK(card_database!$BB$53),-1,card_database!$BB$53)</f>
        <v>-1</v>
      </c>
      <c r="BI53">
        <f>IF(ISBLANK(card_database!$BC$53),-1,card_database!$BC$53)</f>
        <v>-1</v>
      </c>
      <c r="BJ53">
        <f>IF(ISBLANK(card_database!$BD$53),-1,MATCH(card_database!$BD$53,わざ, 0) - 1)</f>
        <v>-1</v>
      </c>
    </row>
    <row r="54" spans="1:62" x14ac:dyDescent="0.55000000000000004">
      <c r="A54">
        <f>IF(ISBLANK(card_database!$A$54),-1,card_database!$A$54)</f>
        <v>48</v>
      </c>
      <c r="B54" t="str">
        <f>IF(ISBLANK(card_database!$B$54),-1,card_database!$B$54)</f>
        <v>サンダー・ボルト</v>
      </c>
      <c r="C54" t="str">
        <f>IF(ISBLANK(card_database!$C$54),-1,card_database!$C$54)</f>
        <v>相手フィールド上に存在する全てのモンスターを破壊する。</v>
      </c>
      <c r="D54">
        <f>IF(ISBLANK(card_database!$D$54),-1,card_database!$D$54)</f>
        <v>48</v>
      </c>
      <c r="E54">
        <f>IF(ISBLANK(card_database!$E$54),-1,MATCH(card_database!$E$54,タイプ, 0) - 1)</f>
        <v>-1</v>
      </c>
      <c r="F54">
        <f>IF(ISBLANK(card_database!$F$54),-1,MATCH(card_database!$F$54,タイプ詳細, 0) - 1)</f>
        <v>-1</v>
      </c>
      <c r="G54">
        <f>IF(ISBLANK(card_database!$G$54),-1,card_database!$G$54)</f>
        <v>-1</v>
      </c>
      <c r="H54">
        <f>IF(ISBLANK(card_database!$H$54),-1,card_database!$H$54)</f>
        <v>-1</v>
      </c>
      <c r="I54">
        <f>IF(ISBLANK(card_database!$I$54),-1,MATCH(card_database!$I$54,属性, 0) - 1)</f>
        <v>-1</v>
      </c>
      <c r="J54">
        <f>IF(ISBLANK(card_database!$J$54),-1,MATCH(card_database!$J$54,種族, 0) - 1)</f>
        <v>-1</v>
      </c>
      <c r="K54">
        <f>IF(ISBLANK(card_database!$K$54),-1,card_database!$K$54)</f>
        <v>-1</v>
      </c>
      <c r="L54">
        <f>IF(ISBLANK(card_database!$L$54),-1,card_database!$L$54)</f>
        <v>-1</v>
      </c>
      <c r="M54">
        <f>IF(ISBLANK(card_database!$M$54),-1,card_database!$M$54)</f>
        <v>-1</v>
      </c>
      <c r="N54">
        <f>IF(ISBLANK(card_database!$N$54),-1,card_database!$N$54)</f>
        <v>-1</v>
      </c>
      <c r="O54">
        <f>IF(ISBLANK(card_database!$O$54),-1,card_database!$O$54)</f>
        <v>-1</v>
      </c>
      <c r="P54">
        <f>IF(ISBLANK(card_database!$P$54),-1,MATCH(card_database!$P$54,条件, 0) - 1)</f>
        <v>-1</v>
      </c>
      <c r="Q54">
        <f>IF(ISBLANK(card_database!$Q$54),-1,MATCH(card_database!$Q$54,条件, 0) - 1)</f>
        <v>-1</v>
      </c>
      <c r="R54">
        <f>IF(ISBLANK(card_database!$R$54),-1,card_database!$R$54)</f>
        <v>-1</v>
      </c>
      <c r="S54">
        <f>IF(ISBLANK(card_database!$S$54),-1,card_database!$S$54)</f>
        <v>-1</v>
      </c>
      <c r="T54">
        <f>IF(ISBLANK(card_database!$T$54),-1,MATCH(card_database!$T$54,効果, 0) - 1)</f>
        <v>-1</v>
      </c>
      <c r="U54">
        <f>IF(ISBLANK(card_database!$U$54),-1,card_database!$U$54)</f>
        <v>-1</v>
      </c>
      <c r="V54">
        <f>IF(ISBLANK(card_database!$V$54),-1,card_database!$V$54)</f>
        <v>-1</v>
      </c>
      <c r="W54">
        <f>IF(ISBLANK(card_database!$W$54),-1,MATCH(card_database!$W$54,条件, 0) - 1)</f>
        <v>-1</v>
      </c>
      <c r="X54">
        <f>IF(ISBLANK(card_database!$X$54),-1,card_database!$X$54)</f>
        <v>-1</v>
      </c>
      <c r="Y54">
        <f>IF(ISBLANK(card_database!$Y$54),-1,card_database!$Y$54)</f>
        <v>-1</v>
      </c>
      <c r="Z54">
        <f>IF(ISBLANK(card_database!$Z$54),-1,MATCH(card_database!$Z$54,効果, 0) - 1)</f>
        <v>-1</v>
      </c>
      <c r="AA54">
        <f>IF(ISBLANK(card_database!$AA$54),-1,card_database!$AA$54)</f>
        <v>-1</v>
      </c>
      <c r="AB54">
        <f>IF(ISBLANK(card_database!$AB$54),-1,card_database!$AB$54)</f>
        <v>-1</v>
      </c>
      <c r="AC54">
        <f>IF(ISBLANK(card_database!$AC$54),-1,MATCH(card_database!$AC$54,条件, 0) - 1)</f>
        <v>-1</v>
      </c>
      <c r="AD54">
        <f>IF(ISBLANK(card_database!$AD$54),-1,card_database!$AD$54)</f>
        <v>-1</v>
      </c>
      <c r="AE54">
        <f>IF(ISBLANK(card_database!$AE$54),-1,card_database!$AE$54)</f>
        <v>-1</v>
      </c>
      <c r="AF54">
        <f>IF(ISBLANK(card_database!$AF$54),-1,MATCH(card_database!$AF$54,効果, 0) - 1)</f>
        <v>-1</v>
      </c>
      <c r="AG54">
        <f>IF(ISBLANK(card_database!$AG$54),-1,card_database!$AG$54)</f>
        <v>-1</v>
      </c>
      <c r="AH54">
        <f>IF(ISBLANK(card_database!$AH$54),-1,card_database!$AH$54)</f>
        <v>-1</v>
      </c>
      <c r="AI54">
        <f>IF(ISBLANK(card_database!$AI$54),-1,MATCH(card_database!$AI$54,条件, 0) - 1)</f>
        <v>-1</v>
      </c>
      <c r="AJ54">
        <f>IF(ISBLANK(card_database!$AJ$54),-1,card_database!$AJ$54)</f>
        <v>-1</v>
      </c>
      <c r="AK54">
        <f>IF(ISBLANK(card_database!$AK$54),-1,card_database!$AK$54)</f>
        <v>-1</v>
      </c>
      <c r="AL54">
        <f>IF(ISBLANK(card_database!$AL$54),-1,MATCH(card_database!$AL$54,わざ, 0) - 1)</f>
        <v>-1</v>
      </c>
      <c r="AM54">
        <f>IF(ISBLANK(card_database!$AM$54),-1,card_database!$AM$54)</f>
        <v>-1</v>
      </c>
      <c r="AN54">
        <f>IF(ISBLANK(card_database!$AN$54),-1,card_database!$AN$54)</f>
        <v>-1</v>
      </c>
      <c r="AO54">
        <f>IF(ISBLANK(card_database!$AO$54),-1,MATCH(card_database!$AO$54,条件, 0) - 1)</f>
        <v>-1</v>
      </c>
      <c r="AP54">
        <f>IF(ISBLANK(card_database!$AP$54),-1,card_database!$AP$54)</f>
        <v>-1</v>
      </c>
      <c r="AQ54">
        <f>IF(ISBLANK(card_database!$AQ$54),-1,card_database!$AQ$54)</f>
        <v>-1</v>
      </c>
      <c r="AR54">
        <f>IF(ISBLANK(card_database!$AR$54),-1,MATCH(card_database!$AR$54,わざ, 0) - 1)</f>
        <v>-1</v>
      </c>
      <c r="AS54">
        <f>IF(ISBLANK(card_database!$AS$54),-1,card_database!$AS$54)</f>
        <v>-1</v>
      </c>
      <c r="AT54">
        <f>IF(ISBLANK(card_database!$AT$54),-1,card_database!$AT$54)</f>
        <v>-1</v>
      </c>
      <c r="AU54">
        <f>IF(ISBLANK(card_database!$AU$54),-1,MATCH(card_database!$AU$54,条件, 0) - 1)</f>
        <v>-1</v>
      </c>
      <c r="AV54">
        <f>IF(ISBLANK(card_database!$AV$54),-1,card_database!$AV$54)</f>
        <v>-1</v>
      </c>
      <c r="AW54">
        <f>IF(ISBLANK(card_database!$AW$54),-1,card_database!$AW$54)</f>
        <v>-1</v>
      </c>
      <c r="AX54">
        <f>IF(ISBLANK(card_database!$AX$54),-1,MATCH(card_database!$AX$54,わざ, 0) - 1)</f>
        <v>-1</v>
      </c>
      <c r="AY54">
        <f>IF(ISBLANK(card_database!$AY$54),-1,card_database!$AY$54)</f>
        <v>-1</v>
      </c>
      <c r="AZ54">
        <f>IF(ISBLANK(card_database!$AZ$54),-1,card_database!$AZ$54)</f>
        <v>-1</v>
      </c>
      <c r="BA54">
        <f>IF(ISBLANK(card_database!$BA$54),-1,MATCH(card_database!$BA$54,条件, 0) - 1)</f>
        <v>-1</v>
      </c>
      <c r="BB54">
        <f>IF(ISBLANK(card_database!$BB$54),-1,card_database!$BB$54)</f>
        <v>-1</v>
      </c>
      <c r="BC54">
        <f>IF(ISBLANK(card_database!$BC$54),-1,card_database!$BC$54)</f>
        <v>-1</v>
      </c>
      <c r="BD54">
        <f>IF(ISBLANK(card_database!$BD$54),-1,MATCH(card_database!$BD$54,わざ, 0) - 1)</f>
        <v>-1</v>
      </c>
      <c r="BE54">
        <f>IF(ISBLANK(card_database!$BE$54),-1,card_database!$BE$54)</f>
        <v>-1</v>
      </c>
      <c r="BF54">
        <f>IF(ISBLANK(card_database!$BF$54),-1,card_database!$BF$54)</f>
        <v>-1</v>
      </c>
      <c r="BG54">
        <f>IF(ISBLANK(card_database!$BG$54),-1,card_database!$BG$54)</f>
        <v>-1</v>
      </c>
      <c r="BH54">
        <f>IF(ISBLANK(card_database!$BB$54),-1,card_database!$BB$54)</f>
        <v>-1</v>
      </c>
      <c r="BI54">
        <f>IF(ISBLANK(card_database!$BC$54),-1,card_database!$BC$54)</f>
        <v>-1</v>
      </c>
      <c r="BJ54">
        <f>IF(ISBLANK(card_database!$BD$54),-1,MATCH(card_database!$BD$54,わざ, 0) - 1)</f>
        <v>-1</v>
      </c>
    </row>
    <row r="55" spans="1:62" x14ac:dyDescent="0.55000000000000004">
      <c r="A55">
        <f>IF(ISBLANK(card_database!$A$55),-1,card_database!$A$55)</f>
        <v>49</v>
      </c>
      <c r="B55" t="str">
        <f>IF(ISBLANK(card_database!$B$55),-1,card_database!$B$55)</f>
        <v>草原</v>
      </c>
      <c r="C55" t="str">
        <f>IF(ISBLANK(card_database!$C$55),-1,card_database!$C$55)</f>
        <v>全ての戦士・獣戦士族モンスターの攻撃力と守備力は、２００ポイントアップする。</v>
      </c>
      <c r="D55">
        <f>IF(ISBLANK(card_database!$D$55),-1,card_database!$D$55)</f>
        <v>49</v>
      </c>
      <c r="E55">
        <f>IF(ISBLANK(card_database!$E$55),-1,MATCH(card_database!$E$55,タイプ, 0) - 1)</f>
        <v>-1</v>
      </c>
      <c r="F55">
        <f>IF(ISBLANK(card_database!$F$55),-1,MATCH(card_database!$F$55,タイプ詳細, 0) - 1)</f>
        <v>-1</v>
      </c>
      <c r="G55">
        <f>IF(ISBLANK(card_database!$G$55),-1,card_database!$G$55)</f>
        <v>-1</v>
      </c>
      <c r="H55">
        <f>IF(ISBLANK(card_database!$H$55),-1,card_database!$H$55)</f>
        <v>-1</v>
      </c>
      <c r="I55">
        <f>IF(ISBLANK(card_database!$I$55),-1,MATCH(card_database!$I$55,属性, 0) - 1)</f>
        <v>-1</v>
      </c>
      <c r="J55">
        <f>IF(ISBLANK(card_database!$J$55),-1,MATCH(card_database!$J$55,種族, 0) - 1)</f>
        <v>-1</v>
      </c>
      <c r="K55">
        <f>IF(ISBLANK(card_database!$K$55),-1,card_database!$K$55)</f>
        <v>-1</v>
      </c>
      <c r="L55">
        <f>IF(ISBLANK(card_database!$L$55),-1,card_database!$L$55)</f>
        <v>-1</v>
      </c>
      <c r="M55">
        <f>IF(ISBLANK(card_database!$M$55),-1,card_database!$M$55)</f>
        <v>-1</v>
      </c>
      <c r="N55">
        <f>IF(ISBLANK(card_database!$N$55),-1,card_database!$N$55)</f>
        <v>-1</v>
      </c>
      <c r="O55">
        <f>IF(ISBLANK(card_database!$O$55),-1,card_database!$O$55)</f>
        <v>-1</v>
      </c>
      <c r="P55">
        <f>IF(ISBLANK(card_database!$P$55),-1,MATCH(card_database!$P$55,条件, 0) - 1)</f>
        <v>-1</v>
      </c>
      <c r="Q55">
        <f>IF(ISBLANK(card_database!$Q$55),-1,MATCH(card_database!$Q$55,条件, 0) - 1)</f>
        <v>-1</v>
      </c>
      <c r="R55">
        <f>IF(ISBLANK(card_database!$R$55),-1,card_database!$R$55)</f>
        <v>-1</v>
      </c>
      <c r="S55">
        <f>IF(ISBLANK(card_database!$S$55),-1,card_database!$S$55)</f>
        <v>-1</v>
      </c>
      <c r="T55">
        <f>IF(ISBLANK(card_database!$T$55),-1,MATCH(card_database!$T$55,効果, 0) - 1)</f>
        <v>-1</v>
      </c>
      <c r="U55">
        <f>IF(ISBLANK(card_database!$U$55),-1,card_database!$U$55)</f>
        <v>-1</v>
      </c>
      <c r="V55">
        <f>IF(ISBLANK(card_database!$V$55),-1,card_database!$V$55)</f>
        <v>-1</v>
      </c>
      <c r="W55">
        <f>IF(ISBLANK(card_database!$W$55),-1,MATCH(card_database!$W$55,条件, 0) - 1)</f>
        <v>-1</v>
      </c>
      <c r="X55">
        <f>IF(ISBLANK(card_database!$X$55),-1,card_database!$X$55)</f>
        <v>-1</v>
      </c>
      <c r="Y55">
        <f>IF(ISBLANK(card_database!$Y$55),-1,card_database!$Y$55)</f>
        <v>-1</v>
      </c>
      <c r="Z55">
        <f>IF(ISBLANK(card_database!$Z$55),-1,MATCH(card_database!$Z$55,効果, 0) - 1)</f>
        <v>-1</v>
      </c>
      <c r="AA55">
        <f>IF(ISBLANK(card_database!$AA$55),-1,card_database!$AA$55)</f>
        <v>-1</v>
      </c>
      <c r="AB55">
        <f>IF(ISBLANK(card_database!$AB$55),-1,card_database!$AB$55)</f>
        <v>-1</v>
      </c>
      <c r="AC55">
        <f>IF(ISBLANK(card_database!$AC$55),-1,MATCH(card_database!$AC$55,条件, 0) - 1)</f>
        <v>-1</v>
      </c>
      <c r="AD55">
        <f>IF(ISBLANK(card_database!$AD$55),-1,card_database!$AD$55)</f>
        <v>-1</v>
      </c>
      <c r="AE55">
        <f>IF(ISBLANK(card_database!$AE$55),-1,card_database!$AE$55)</f>
        <v>-1</v>
      </c>
      <c r="AF55">
        <f>IF(ISBLANK(card_database!$AF$55),-1,MATCH(card_database!$AF$55,効果, 0) - 1)</f>
        <v>-1</v>
      </c>
      <c r="AG55">
        <f>IF(ISBLANK(card_database!$AG$55),-1,card_database!$AG$55)</f>
        <v>-1</v>
      </c>
      <c r="AH55">
        <f>IF(ISBLANK(card_database!$AH$55),-1,card_database!$AH$55)</f>
        <v>-1</v>
      </c>
      <c r="AI55">
        <f>IF(ISBLANK(card_database!$AI$55),-1,MATCH(card_database!$AI$55,条件, 0) - 1)</f>
        <v>-1</v>
      </c>
      <c r="AJ55">
        <f>IF(ISBLANK(card_database!$AJ$55),-1,card_database!$AJ$55)</f>
        <v>-1</v>
      </c>
      <c r="AK55">
        <f>IF(ISBLANK(card_database!$AK$55),-1,card_database!$AK$55)</f>
        <v>-1</v>
      </c>
      <c r="AL55">
        <f>IF(ISBLANK(card_database!$AL$55),-1,MATCH(card_database!$AL$55,わざ, 0) - 1)</f>
        <v>-1</v>
      </c>
      <c r="AM55">
        <f>IF(ISBLANK(card_database!$AM$55),-1,card_database!$AM$55)</f>
        <v>-1</v>
      </c>
      <c r="AN55">
        <f>IF(ISBLANK(card_database!$AN$55),-1,card_database!$AN$55)</f>
        <v>-1</v>
      </c>
      <c r="AO55">
        <f>IF(ISBLANK(card_database!$AO$55),-1,MATCH(card_database!$AO$55,条件, 0) - 1)</f>
        <v>-1</v>
      </c>
      <c r="AP55">
        <f>IF(ISBLANK(card_database!$AP$55),-1,card_database!$AP$55)</f>
        <v>-1</v>
      </c>
      <c r="AQ55">
        <f>IF(ISBLANK(card_database!$AQ$55),-1,card_database!$AQ$55)</f>
        <v>-1</v>
      </c>
      <c r="AR55">
        <f>IF(ISBLANK(card_database!$AR$55),-1,MATCH(card_database!$AR$55,わざ, 0) - 1)</f>
        <v>-1</v>
      </c>
      <c r="AS55">
        <f>IF(ISBLANK(card_database!$AS$55),-1,card_database!$AS$55)</f>
        <v>-1</v>
      </c>
      <c r="AT55">
        <f>IF(ISBLANK(card_database!$AT$55),-1,card_database!$AT$55)</f>
        <v>-1</v>
      </c>
      <c r="AU55">
        <f>IF(ISBLANK(card_database!$AU$55),-1,MATCH(card_database!$AU$55,条件, 0) - 1)</f>
        <v>-1</v>
      </c>
      <c r="AV55">
        <f>IF(ISBLANK(card_database!$AV$55),-1,card_database!$AV$55)</f>
        <v>-1</v>
      </c>
      <c r="AW55">
        <f>IF(ISBLANK(card_database!$AW$55),-1,card_database!$AW$55)</f>
        <v>-1</v>
      </c>
      <c r="AX55">
        <f>IF(ISBLANK(card_database!$AX$55),-1,MATCH(card_database!$AX$55,わざ, 0) - 1)</f>
        <v>-1</v>
      </c>
      <c r="AY55">
        <f>IF(ISBLANK(card_database!$AY$55),-1,card_database!$AY$55)</f>
        <v>-1</v>
      </c>
      <c r="AZ55">
        <f>IF(ISBLANK(card_database!$AZ$55),-1,card_database!$AZ$55)</f>
        <v>-1</v>
      </c>
      <c r="BA55">
        <f>IF(ISBLANK(card_database!$BA$55),-1,MATCH(card_database!$BA$55,条件, 0) - 1)</f>
        <v>-1</v>
      </c>
      <c r="BB55">
        <f>IF(ISBLANK(card_database!$BB$55),-1,card_database!$BB$55)</f>
        <v>-1</v>
      </c>
      <c r="BC55">
        <f>IF(ISBLANK(card_database!$BC$55),-1,card_database!$BC$55)</f>
        <v>-1</v>
      </c>
      <c r="BD55">
        <f>IF(ISBLANK(card_database!$BD$55),-1,MATCH(card_database!$BD$55,わざ, 0) - 1)</f>
        <v>-1</v>
      </c>
      <c r="BE55">
        <f>IF(ISBLANK(card_database!$BE$55),-1,card_database!$BE$55)</f>
        <v>-1</v>
      </c>
      <c r="BF55">
        <f>IF(ISBLANK(card_database!$BF$55),-1,card_database!$BF$55)</f>
        <v>-1</v>
      </c>
      <c r="BG55">
        <f>IF(ISBLANK(card_database!$BG$55),-1,card_database!$BG$55)</f>
        <v>-1</v>
      </c>
      <c r="BH55">
        <f>IF(ISBLANK(card_database!$BB$55),-1,card_database!$BB$55)</f>
        <v>-1</v>
      </c>
      <c r="BI55">
        <f>IF(ISBLANK(card_database!$BC$55),-1,card_database!$BC$55)</f>
        <v>-1</v>
      </c>
      <c r="BJ55">
        <f>IF(ISBLANK(card_database!$BD$55),-1,MATCH(card_database!$BD$55,わざ, 0) - 1)</f>
        <v>-1</v>
      </c>
    </row>
    <row r="56" spans="1:62" x14ac:dyDescent="0.55000000000000004">
      <c r="A56">
        <f>IF(ISBLANK(card_database!$A$56),-1,card_database!$A$56)</f>
        <v>50</v>
      </c>
      <c r="B56" t="str">
        <f>IF(ISBLANK(card_database!$B$56),-1,card_database!$B$56)</f>
        <v>ファイヤー・ボール</v>
      </c>
      <c r="C56" t="str">
        <f>IF(ISBLANK(card_database!$C$56),-1,card_database!$C$56)</f>
        <v>相手ライフに５００ポイントダメージを与える。</v>
      </c>
      <c r="D56">
        <f>IF(ISBLANK(card_database!$D$56),-1,card_database!$D$56)</f>
        <v>50</v>
      </c>
      <c r="E56">
        <f>IF(ISBLANK(card_database!$E$56),-1,MATCH(card_database!$E$56,タイプ, 0) - 1)</f>
        <v>-1</v>
      </c>
      <c r="F56">
        <f>IF(ISBLANK(card_database!$F$56),-1,MATCH(card_database!$F$56,タイプ詳細, 0) - 1)</f>
        <v>-1</v>
      </c>
      <c r="G56">
        <f>IF(ISBLANK(card_database!$G$56),-1,card_database!$G$56)</f>
        <v>-1</v>
      </c>
      <c r="H56">
        <f>IF(ISBLANK(card_database!$H$56),-1,card_database!$H$56)</f>
        <v>-1</v>
      </c>
      <c r="I56">
        <f>IF(ISBLANK(card_database!$I$56),-1,MATCH(card_database!$I$56,属性, 0) - 1)</f>
        <v>-1</v>
      </c>
      <c r="J56">
        <f>IF(ISBLANK(card_database!$J$56),-1,MATCH(card_database!$J$56,種族, 0) - 1)</f>
        <v>-1</v>
      </c>
      <c r="K56">
        <f>IF(ISBLANK(card_database!$K$56),-1,card_database!$K$56)</f>
        <v>-1</v>
      </c>
      <c r="L56">
        <f>IF(ISBLANK(card_database!$L$56),-1,card_database!$L$56)</f>
        <v>-1</v>
      </c>
      <c r="M56">
        <f>IF(ISBLANK(card_database!$M$56),-1,card_database!$M$56)</f>
        <v>-1</v>
      </c>
      <c r="N56">
        <f>IF(ISBLANK(card_database!$N$56),-1,card_database!$N$56)</f>
        <v>-1</v>
      </c>
      <c r="O56">
        <f>IF(ISBLANK(card_database!$O$56),-1,card_database!$O$56)</f>
        <v>-1</v>
      </c>
      <c r="P56">
        <f>IF(ISBLANK(card_database!$P$56),-1,MATCH(card_database!$P$56,条件, 0) - 1)</f>
        <v>-1</v>
      </c>
      <c r="Q56">
        <f>IF(ISBLANK(card_database!$Q$56),-1,MATCH(card_database!$Q$56,条件, 0) - 1)</f>
        <v>-1</v>
      </c>
      <c r="R56">
        <f>IF(ISBLANK(card_database!$R$56),-1,card_database!$R$56)</f>
        <v>-1</v>
      </c>
      <c r="S56">
        <f>IF(ISBLANK(card_database!$S$56),-1,card_database!$S$56)</f>
        <v>-1</v>
      </c>
      <c r="T56">
        <f>IF(ISBLANK(card_database!$T$56),-1,MATCH(card_database!$T$56,効果, 0) - 1)</f>
        <v>-1</v>
      </c>
      <c r="U56">
        <f>IF(ISBLANK(card_database!$U$56),-1,card_database!$U$56)</f>
        <v>-1</v>
      </c>
      <c r="V56">
        <f>IF(ISBLANK(card_database!$V$56),-1,card_database!$V$56)</f>
        <v>-1</v>
      </c>
      <c r="W56">
        <f>IF(ISBLANK(card_database!$W$56),-1,MATCH(card_database!$W$56,条件, 0) - 1)</f>
        <v>-1</v>
      </c>
      <c r="X56">
        <f>IF(ISBLANK(card_database!$X$56),-1,card_database!$X$56)</f>
        <v>-1</v>
      </c>
      <c r="Y56">
        <f>IF(ISBLANK(card_database!$Y$56),-1,card_database!$Y$56)</f>
        <v>-1</v>
      </c>
      <c r="Z56">
        <f>IF(ISBLANK(card_database!$Z$56),-1,MATCH(card_database!$Z$56,効果, 0) - 1)</f>
        <v>-1</v>
      </c>
      <c r="AA56">
        <f>IF(ISBLANK(card_database!$AA$56),-1,card_database!$AA$56)</f>
        <v>-1</v>
      </c>
      <c r="AB56">
        <f>IF(ISBLANK(card_database!$AB$56),-1,card_database!$AB$56)</f>
        <v>-1</v>
      </c>
      <c r="AC56">
        <f>IF(ISBLANK(card_database!$AC$56),-1,MATCH(card_database!$AC$56,条件, 0) - 1)</f>
        <v>-1</v>
      </c>
      <c r="AD56">
        <f>IF(ISBLANK(card_database!$AD$56),-1,card_database!$AD$56)</f>
        <v>-1</v>
      </c>
      <c r="AE56">
        <f>IF(ISBLANK(card_database!$AE$56),-1,card_database!$AE$56)</f>
        <v>-1</v>
      </c>
      <c r="AF56">
        <f>IF(ISBLANK(card_database!$AF$56),-1,MATCH(card_database!$AF$56,効果, 0) - 1)</f>
        <v>-1</v>
      </c>
      <c r="AG56">
        <f>IF(ISBLANK(card_database!$AG$56),-1,card_database!$AG$56)</f>
        <v>-1</v>
      </c>
      <c r="AH56">
        <f>IF(ISBLANK(card_database!$AH$56),-1,card_database!$AH$56)</f>
        <v>-1</v>
      </c>
      <c r="AI56">
        <f>IF(ISBLANK(card_database!$AI$56),-1,MATCH(card_database!$AI$56,条件, 0) - 1)</f>
        <v>-1</v>
      </c>
      <c r="AJ56">
        <f>IF(ISBLANK(card_database!$AJ$56),-1,card_database!$AJ$56)</f>
        <v>-1</v>
      </c>
      <c r="AK56">
        <f>IF(ISBLANK(card_database!$AK$56),-1,card_database!$AK$56)</f>
        <v>-1</v>
      </c>
      <c r="AL56">
        <f>IF(ISBLANK(card_database!$AL$56),-1,MATCH(card_database!$AL$56,わざ, 0) - 1)</f>
        <v>-1</v>
      </c>
      <c r="AM56">
        <f>IF(ISBLANK(card_database!$AM$56),-1,card_database!$AM$56)</f>
        <v>-1</v>
      </c>
      <c r="AN56">
        <f>IF(ISBLANK(card_database!$AN$56),-1,card_database!$AN$56)</f>
        <v>-1</v>
      </c>
      <c r="AO56">
        <f>IF(ISBLANK(card_database!$AO$56),-1,MATCH(card_database!$AO$56,条件, 0) - 1)</f>
        <v>-1</v>
      </c>
      <c r="AP56">
        <f>IF(ISBLANK(card_database!$AP$56),-1,card_database!$AP$56)</f>
        <v>-1</v>
      </c>
      <c r="AQ56">
        <f>IF(ISBLANK(card_database!$AQ$56),-1,card_database!$AQ$56)</f>
        <v>-1</v>
      </c>
      <c r="AR56">
        <f>IF(ISBLANK(card_database!$AR$56),-1,MATCH(card_database!$AR$56,わざ, 0) - 1)</f>
        <v>-1</v>
      </c>
      <c r="AS56">
        <f>IF(ISBLANK(card_database!$AS$56),-1,card_database!$AS$56)</f>
        <v>-1</v>
      </c>
      <c r="AT56">
        <f>IF(ISBLANK(card_database!$AT$56),-1,card_database!$AT$56)</f>
        <v>-1</v>
      </c>
      <c r="AU56">
        <f>IF(ISBLANK(card_database!$AU$56),-1,MATCH(card_database!$AU$56,条件, 0) - 1)</f>
        <v>-1</v>
      </c>
      <c r="AV56">
        <f>IF(ISBLANK(card_database!$AV$56),-1,card_database!$AV$56)</f>
        <v>-1</v>
      </c>
      <c r="AW56">
        <f>IF(ISBLANK(card_database!$AW$56),-1,card_database!$AW$56)</f>
        <v>-1</v>
      </c>
      <c r="AX56">
        <f>IF(ISBLANK(card_database!$AX$56),-1,MATCH(card_database!$AX$56,わざ, 0) - 1)</f>
        <v>-1</v>
      </c>
      <c r="AY56">
        <f>IF(ISBLANK(card_database!$AY$56),-1,card_database!$AY$56)</f>
        <v>-1</v>
      </c>
      <c r="AZ56">
        <f>IF(ISBLANK(card_database!$AZ$56),-1,card_database!$AZ$56)</f>
        <v>-1</v>
      </c>
      <c r="BA56">
        <f>IF(ISBLANK(card_database!$BA$56),-1,MATCH(card_database!$BA$56,条件, 0) - 1)</f>
        <v>-1</v>
      </c>
      <c r="BB56">
        <f>IF(ISBLANK(card_database!$BB$56),-1,card_database!$BB$56)</f>
        <v>-1</v>
      </c>
      <c r="BC56">
        <f>IF(ISBLANK(card_database!$BC$56),-1,card_database!$BC$56)</f>
        <v>-1</v>
      </c>
      <c r="BD56">
        <f>IF(ISBLANK(card_database!$BD$56),-1,MATCH(card_database!$BD$56,わざ, 0) - 1)</f>
        <v>-1</v>
      </c>
      <c r="BE56">
        <f>IF(ISBLANK(card_database!$BE$56),-1,card_database!$BE$56)</f>
        <v>-1</v>
      </c>
      <c r="BF56">
        <f>IF(ISBLANK(card_database!$BF$56),-1,card_database!$BF$56)</f>
        <v>-1</v>
      </c>
      <c r="BG56">
        <f>IF(ISBLANK(card_database!$BG$56),-1,card_database!$BG$56)</f>
        <v>-1</v>
      </c>
      <c r="BH56">
        <f>IF(ISBLANK(card_database!$BB$56),-1,card_database!$BB$56)</f>
        <v>-1</v>
      </c>
      <c r="BI56">
        <f>IF(ISBLANK(card_database!$BC$56),-1,card_database!$BC$56)</f>
        <v>-1</v>
      </c>
      <c r="BJ56">
        <f>IF(ISBLANK(card_database!$BD$56),-1,MATCH(card_database!$BD$56,わざ, 0) - 1)</f>
        <v>-1</v>
      </c>
    </row>
    <row r="57" spans="1:62" x14ac:dyDescent="0.55000000000000004">
      <c r="A57">
        <f>IF(ISBLANK(card_database!$A$57),-1,card_database!$A$57)</f>
        <v>51</v>
      </c>
      <c r="B57" t="str">
        <f>IF(ISBLANK(card_database!$B$57),-1,card_database!$B$57)</f>
        <v>モウヤンのカレー</v>
      </c>
      <c r="C57" t="str">
        <f>IF(ISBLANK(card_database!$C$57),-1,card_database!$C$57)</f>
        <v>ライフポイントを２００ポイント回復する。</v>
      </c>
      <c r="D57">
        <f>IF(ISBLANK(card_database!$D$57),-1,card_database!$D$57)</f>
        <v>51</v>
      </c>
      <c r="E57">
        <f>IF(ISBLANK(card_database!$E$57),-1,MATCH(card_database!$E$57,タイプ, 0) - 1)</f>
        <v>-1</v>
      </c>
      <c r="F57">
        <f>IF(ISBLANK(card_database!$F$57),-1,MATCH(card_database!$F$57,タイプ詳細, 0) - 1)</f>
        <v>-1</v>
      </c>
      <c r="G57">
        <f>IF(ISBLANK(card_database!$G$57),-1,card_database!$G$57)</f>
        <v>-1</v>
      </c>
      <c r="H57">
        <f>IF(ISBLANK(card_database!$H$57),-1,card_database!$H$57)</f>
        <v>-1</v>
      </c>
      <c r="I57">
        <f>IF(ISBLANK(card_database!$I$57),-1,MATCH(card_database!$I$57,属性, 0) - 1)</f>
        <v>-1</v>
      </c>
      <c r="J57">
        <f>IF(ISBLANK(card_database!$J$57),-1,MATCH(card_database!$J$57,種族, 0) - 1)</f>
        <v>-1</v>
      </c>
      <c r="K57">
        <f>IF(ISBLANK(card_database!$K$57),-1,card_database!$K$57)</f>
        <v>-1</v>
      </c>
      <c r="L57">
        <f>IF(ISBLANK(card_database!$L$57),-1,card_database!$L$57)</f>
        <v>-1</v>
      </c>
      <c r="M57">
        <f>IF(ISBLANK(card_database!$M$57),-1,card_database!$M$57)</f>
        <v>-1</v>
      </c>
      <c r="N57">
        <f>IF(ISBLANK(card_database!$N$57),-1,card_database!$N$57)</f>
        <v>-1</v>
      </c>
      <c r="O57">
        <f>IF(ISBLANK(card_database!$O$57),-1,card_database!$O$57)</f>
        <v>-1</v>
      </c>
      <c r="P57">
        <f>IF(ISBLANK(card_database!$P$57),-1,MATCH(card_database!$P$57,条件, 0) - 1)</f>
        <v>-1</v>
      </c>
      <c r="Q57">
        <f>IF(ISBLANK(card_database!$Q$57),-1,MATCH(card_database!$Q$57,条件, 0) - 1)</f>
        <v>-1</v>
      </c>
      <c r="R57">
        <f>IF(ISBLANK(card_database!$R$57),-1,card_database!$R$57)</f>
        <v>-1</v>
      </c>
      <c r="S57">
        <f>IF(ISBLANK(card_database!$S$57),-1,card_database!$S$57)</f>
        <v>-1</v>
      </c>
      <c r="T57">
        <f>IF(ISBLANK(card_database!$T$57),-1,MATCH(card_database!$T$57,効果, 0) - 1)</f>
        <v>-1</v>
      </c>
      <c r="U57">
        <f>IF(ISBLANK(card_database!$U$57),-1,card_database!$U$57)</f>
        <v>-1</v>
      </c>
      <c r="V57">
        <f>IF(ISBLANK(card_database!$V$57),-1,card_database!$V$57)</f>
        <v>-1</v>
      </c>
      <c r="W57">
        <f>IF(ISBLANK(card_database!$W$57),-1,MATCH(card_database!$W$57,条件, 0) - 1)</f>
        <v>-1</v>
      </c>
      <c r="X57">
        <f>IF(ISBLANK(card_database!$X$57),-1,card_database!$X$57)</f>
        <v>-1</v>
      </c>
      <c r="Y57">
        <f>IF(ISBLANK(card_database!$Y$57),-1,card_database!$Y$57)</f>
        <v>-1</v>
      </c>
      <c r="Z57">
        <f>IF(ISBLANK(card_database!$Z$57),-1,MATCH(card_database!$Z$57,効果, 0) - 1)</f>
        <v>-1</v>
      </c>
      <c r="AA57">
        <f>IF(ISBLANK(card_database!$AA$57),-1,card_database!$AA$57)</f>
        <v>-1</v>
      </c>
      <c r="AB57">
        <f>IF(ISBLANK(card_database!$AB$57),-1,card_database!$AB$57)</f>
        <v>-1</v>
      </c>
      <c r="AC57">
        <f>IF(ISBLANK(card_database!$AC$57),-1,MATCH(card_database!$AC$57,条件, 0) - 1)</f>
        <v>-1</v>
      </c>
      <c r="AD57">
        <f>IF(ISBLANK(card_database!$AD$57),-1,card_database!$AD$57)</f>
        <v>-1</v>
      </c>
      <c r="AE57">
        <f>IF(ISBLANK(card_database!$AE$57),-1,card_database!$AE$57)</f>
        <v>-1</v>
      </c>
      <c r="AF57">
        <f>IF(ISBLANK(card_database!$AF$57),-1,MATCH(card_database!$AF$57,効果, 0) - 1)</f>
        <v>-1</v>
      </c>
      <c r="AG57">
        <f>IF(ISBLANK(card_database!$AG$57),-1,card_database!$AG$57)</f>
        <v>-1</v>
      </c>
      <c r="AH57">
        <f>IF(ISBLANK(card_database!$AH$57),-1,card_database!$AH$57)</f>
        <v>-1</v>
      </c>
      <c r="AI57">
        <f>IF(ISBLANK(card_database!$AI$57),-1,MATCH(card_database!$AI$57,条件, 0) - 1)</f>
        <v>-1</v>
      </c>
      <c r="AJ57">
        <f>IF(ISBLANK(card_database!$AJ$57),-1,card_database!$AJ$57)</f>
        <v>-1</v>
      </c>
      <c r="AK57">
        <f>IF(ISBLANK(card_database!$AK$57),-1,card_database!$AK$57)</f>
        <v>-1</v>
      </c>
      <c r="AL57">
        <f>IF(ISBLANK(card_database!$AL$57),-1,MATCH(card_database!$AL$57,わざ, 0) - 1)</f>
        <v>-1</v>
      </c>
      <c r="AM57">
        <f>IF(ISBLANK(card_database!$AM$57),-1,card_database!$AM$57)</f>
        <v>-1</v>
      </c>
      <c r="AN57">
        <f>IF(ISBLANK(card_database!$AN$57),-1,card_database!$AN$57)</f>
        <v>-1</v>
      </c>
      <c r="AO57">
        <f>IF(ISBLANK(card_database!$AO$57),-1,MATCH(card_database!$AO$57,条件, 0) - 1)</f>
        <v>-1</v>
      </c>
      <c r="AP57">
        <f>IF(ISBLANK(card_database!$AP$57),-1,card_database!$AP$57)</f>
        <v>-1</v>
      </c>
      <c r="AQ57">
        <f>IF(ISBLANK(card_database!$AQ$57),-1,card_database!$AQ$57)</f>
        <v>-1</v>
      </c>
      <c r="AR57">
        <f>IF(ISBLANK(card_database!$AR$57),-1,MATCH(card_database!$AR$57,わざ, 0) - 1)</f>
        <v>-1</v>
      </c>
      <c r="AS57">
        <f>IF(ISBLANK(card_database!$AS$57),-1,card_database!$AS$57)</f>
        <v>-1</v>
      </c>
      <c r="AT57">
        <f>IF(ISBLANK(card_database!$AT$57),-1,card_database!$AT$57)</f>
        <v>-1</v>
      </c>
      <c r="AU57">
        <f>IF(ISBLANK(card_database!$AU$57),-1,MATCH(card_database!$AU$57,条件, 0) - 1)</f>
        <v>-1</v>
      </c>
      <c r="AV57">
        <f>IF(ISBLANK(card_database!$AV$57),-1,card_database!$AV$57)</f>
        <v>-1</v>
      </c>
      <c r="AW57">
        <f>IF(ISBLANK(card_database!$AW$57),-1,card_database!$AW$57)</f>
        <v>-1</v>
      </c>
      <c r="AX57">
        <f>IF(ISBLANK(card_database!$AX$57),-1,MATCH(card_database!$AX$57,わざ, 0) - 1)</f>
        <v>-1</v>
      </c>
      <c r="AY57">
        <f>IF(ISBLANK(card_database!$AY$57),-1,card_database!$AY$57)</f>
        <v>-1</v>
      </c>
      <c r="AZ57">
        <f>IF(ISBLANK(card_database!$AZ$57),-1,card_database!$AZ$57)</f>
        <v>-1</v>
      </c>
      <c r="BA57">
        <f>IF(ISBLANK(card_database!$BA$57),-1,MATCH(card_database!$BA$57,条件, 0) - 1)</f>
        <v>-1</v>
      </c>
      <c r="BB57">
        <f>IF(ISBLANK(card_database!$BB$57),-1,card_database!$BB$57)</f>
        <v>-1</v>
      </c>
      <c r="BC57">
        <f>IF(ISBLANK(card_database!$BC$57),-1,card_database!$BC$57)</f>
        <v>-1</v>
      </c>
      <c r="BD57">
        <f>IF(ISBLANK(card_database!$BD$57),-1,MATCH(card_database!$BD$57,わざ, 0) - 1)</f>
        <v>-1</v>
      </c>
      <c r="BE57">
        <f>IF(ISBLANK(card_database!$BE$57),-1,card_database!$BE$57)</f>
        <v>-1</v>
      </c>
      <c r="BF57">
        <f>IF(ISBLANK(card_database!$BF$57),-1,card_database!$BF$57)</f>
        <v>-1</v>
      </c>
      <c r="BG57">
        <f>IF(ISBLANK(card_database!$BG$57),-1,card_database!$BG$57)</f>
        <v>-1</v>
      </c>
      <c r="BH57">
        <f>IF(ISBLANK(card_database!$BB$57),-1,card_database!$BB$57)</f>
        <v>-1</v>
      </c>
      <c r="BI57">
        <f>IF(ISBLANK(card_database!$BC$57),-1,card_database!$BC$57)</f>
        <v>-1</v>
      </c>
      <c r="BJ57">
        <f>IF(ISBLANK(card_database!$BD$57),-1,MATCH(card_database!$BD$57,わざ, 0) - 1)</f>
        <v>-1</v>
      </c>
    </row>
    <row r="58" spans="1:62" x14ac:dyDescent="0.55000000000000004">
      <c r="A58">
        <f>IF(ISBLANK(card_database!$A$58),-1,card_database!$A$58)</f>
        <v>52</v>
      </c>
      <c r="B58" t="str">
        <f>IF(ISBLANK(card_database!$B$58),-1,card_database!$B$58)</f>
        <v>森</v>
      </c>
      <c r="C58" t="str">
        <f>IF(ISBLANK(card_database!$C$58),-1,card_database!$C$58)</f>
        <v>全ての昆虫・植物・獣・獣戦士族モンスターの攻撃力と守備力は、２００ポイントアップする。</v>
      </c>
      <c r="D58">
        <f>IF(ISBLANK(card_database!$D$58),-1,card_database!$D$58)</f>
        <v>52</v>
      </c>
      <c r="E58">
        <f>IF(ISBLANK(card_database!$E$58),-1,MATCH(card_database!$E$58,タイプ, 0) - 1)</f>
        <v>-1</v>
      </c>
      <c r="F58">
        <f>IF(ISBLANK(card_database!$F$58),-1,MATCH(card_database!$F$58,タイプ詳細, 0) - 1)</f>
        <v>-1</v>
      </c>
      <c r="G58">
        <f>IF(ISBLANK(card_database!$G$58),-1,card_database!$G$58)</f>
        <v>-1</v>
      </c>
      <c r="H58">
        <f>IF(ISBLANK(card_database!$H$58),-1,card_database!$H$58)</f>
        <v>-1</v>
      </c>
      <c r="I58">
        <f>IF(ISBLANK(card_database!$I$58),-1,MATCH(card_database!$I$58,属性, 0) - 1)</f>
        <v>-1</v>
      </c>
      <c r="J58">
        <f>IF(ISBLANK(card_database!$J$58),-1,MATCH(card_database!$J$58,種族, 0) - 1)</f>
        <v>-1</v>
      </c>
      <c r="K58">
        <f>IF(ISBLANK(card_database!$K$58),-1,card_database!$K$58)</f>
        <v>-1</v>
      </c>
      <c r="L58">
        <f>IF(ISBLANK(card_database!$L$58),-1,card_database!$L$58)</f>
        <v>-1</v>
      </c>
      <c r="M58">
        <f>IF(ISBLANK(card_database!$M$58),-1,card_database!$M$58)</f>
        <v>-1</v>
      </c>
      <c r="N58">
        <f>IF(ISBLANK(card_database!$N$58),-1,card_database!$N$58)</f>
        <v>-1</v>
      </c>
      <c r="O58">
        <f>IF(ISBLANK(card_database!$O$58),-1,card_database!$O$58)</f>
        <v>-1</v>
      </c>
      <c r="P58">
        <f>IF(ISBLANK(card_database!$P$58),-1,MATCH(card_database!$P$58,条件, 0) - 1)</f>
        <v>-1</v>
      </c>
      <c r="Q58">
        <f>IF(ISBLANK(card_database!$Q$58),-1,MATCH(card_database!$Q$58,条件, 0) - 1)</f>
        <v>-1</v>
      </c>
      <c r="R58">
        <f>IF(ISBLANK(card_database!$R$58),-1,card_database!$R$58)</f>
        <v>-1</v>
      </c>
      <c r="S58">
        <f>IF(ISBLANK(card_database!$S$58),-1,card_database!$S$58)</f>
        <v>-1</v>
      </c>
      <c r="T58">
        <f>IF(ISBLANK(card_database!$T$58),-1,MATCH(card_database!$T$58,効果, 0) - 1)</f>
        <v>-1</v>
      </c>
      <c r="U58">
        <f>IF(ISBLANK(card_database!$U$58),-1,card_database!$U$58)</f>
        <v>-1</v>
      </c>
      <c r="V58">
        <f>IF(ISBLANK(card_database!$V$58),-1,card_database!$V$58)</f>
        <v>-1</v>
      </c>
      <c r="W58">
        <f>IF(ISBLANK(card_database!$W$58),-1,MATCH(card_database!$W$58,条件, 0) - 1)</f>
        <v>-1</v>
      </c>
      <c r="X58">
        <f>IF(ISBLANK(card_database!$X$58),-1,card_database!$X$58)</f>
        <v>-1</v>
      </c>
      <c r="Y58">
        <f>IF(ISBLANK(card_database!$Y$58),-1,card_database!$Y$58)</f>
        <v>-1</v>
      </c>
      <c r="Z58">
        <f>IF(ISBLANK(card_database!$Z$58),-1,MATCH(card_database!$Z$58,効果, 0) - 1)</f>
        <v>-1</v>
      </c>
      <c r="AA58">
        <f>IF(ISBLANK(card_database!$AA$58),-1,card_database!$AA$58)</f>
        <v>-1</v>
      </c>
      <c r="AB58">
        <f>IF(ISBLANK(card_database!$AB$58),-1,card_database!$AB$58)</f>
        <v>-1</v>
      </c>
      <c r="AC58">
        <f>IF(ISBLANK(card_database!$AC$58),-1,MATCH(card_database!$AC$58,条件, 0) - 1)</f>
        <v>-1</v>
      </c>
      <c r="AD58">
        <f>IF(ISBLANK(card_database!$AD$58),-1,card_database!$AD$58)</f>
        <v>-1</v>
      </c>
      <c r="AE58">
        <f>IF(ISBLANK(card_database!$AE$58),-1,card_database!$AE$58)</f>
        <v>-1</v>
      </c>
      <c r="AF58">
        <f>IF(ISBLANK(card_database!$AF$58),-1,MATCH(card_database!$AF$58,効果, 0) - 1)</f>
        <v>-1</v>
      </c>
      <c r="AG58">
        <f>IF(ISBLANK(card_database!$AG$58),-1,card_database!$AG$58)</f>
        <v>-1</v>
      </c>
      <c r="AH58">
        <f>IF(ISBLANK(card_database!$AH$58),-1,card_database!$AH$58)</f>
        <v>-1</v>
      </c>
      <c r="AI58">
        <f>IF(ISBLANK(card_database!$AI$58),-1,MATCH(card_database!$AI$58,条件, 0) - 1)</f>
        <v>-1</v>
      </c>
      <c r="AJ58">
        <f>IF(ISBLANK(card_database!$AJ$58),-1,card_database!$AJ$58)</f>
        <v>-1</v>
      </c>
      <c r="AK58">
        <f>IF(ISBLANK(card_database!$AK$58),-1,card_database!$AK$58)</f>
        <v>-1</v>
      </c>
      <c r="AL58">
        <f>IF(ISBLANK(card_database!$AL$58),-1,MATCH(card_database!$AL$58,わざ, 0) - 1)</f>
        <v>-1</v>
      </c>
      <c r="AM58">
        <f>IF(ISBLANK(card_database!$AM$58),-1,card_database!$AM$58)</f>
        <v>-1</v>
      </c>
      <c r="AN58">
        <f>IF(ISBLANK(card_database!$AN$58),-1,card_database!$AN$58)</f>
        <v>-1</v>
      </c>
      <c r="AO58">
        <f>IF(ISBLANK(card_database!$AO$58),-1,MATCH(card_database!$AO$58,条件, 0) - 1)</f>
        <v>-1</v>
      </c>
      <c r="AP58">
        <f>IF(ISBLANK(card_database!$AP$58),-1,card_database!$AP$58)</f>
        <v>-1</v>
      </c>
      <c r="AQ58">
        <f>IF(ISBLANK(card_database!$AQ$58),-1,card_database!$AQ$58)</f>
        <v>-1</v>
      </c>
      <c r="AR58">
        <f>IF(ISBLANK(card_database!$AR$58),-1,MATCH(card_database!$AR$58,わざ, 0) - 1)</f>
        <v>-1</v>
      </c>
      <c r="AS58">
        <f>IF(ISBLANK(card_database!$AS$58),-1,card_database!$AS$58)</f>
        <v>-1</v>
      </c>
      <c r="AT58">
        <f>IF(ISBLANK(card_database!$AT$58),-1,card_database!$AT$58)</f>
        <v>-1</v>
      </c>
      <c r="AU58">
        <f>IF(ISBLANK(card_database!$AU$58),-1,MATCH(card_database!$AU$58,条件, 0) - 1)</f>
        <v>-1</v>
      </c>
      <c r="AV58">
        <f>IF(ISBLANK(card_database!$AV$58),-1,card_database!$AV$58)</f>
        <v>-1</v>
      </c>
      <c r="AW58">
        <f>IF(ISBLANK(card_database!$AW$58),-1,card_database!$AW$58)</f>
        <v>-1</v>
      </c>
      <c r="AX58">
        <f>IF(ISBLANK(card_database!$AX$58),-1,MATCH(card_database!$AX$58,わざ, 0) - 1)</f>
        <v>-1</v>
      </c>
      <c r="AY58">
        <f>IF(ISBLANK(card_database!$AY$58),-1,card_database!$AY$58)</f>
        <v>-1</v>
      </c>
      <c r="AZ58">
        <f>IF(ISBLANK(card_database!$AZ$58),-1,card_database!$AZ$58)</f>
        <v>-1</v>
      </c>
      <c r="BA58">
        <f>IF(ISBLANK(card_database!$BA$58),-1,MATCH(card_database!$BA$58,条件, 0) - 1)</f>
        <v>-1</v>
      </c>
      <c r="BB58">
        <f>IF(ISBLANK(card_database!$BB$58),-1,card_database!$BB$58)</f>
        <v>-1</v>
      </c>
      <c r="BC58">
        <f>IF(ISBLANK(card_database!$BC$58),-1,card_database!$BC$58)</f>
        <v>-1</v>
      </c>
      <c r="BD58">
        <f>IF(ISBLANK(card_database!$BD$58),-1,MATCH(card_database!$BD$58,わざ, 0) - 1)</f>
        <v>-1</v>
      </c>
      <c r="BE58">
        <f>IF(ISBLANK(card_database!$BE$58),-1,card_database!$BE$58)</f>
        <v>-1</v>
      </c>
      <c r="BF58">
        <f>IF(ISBLANK(card_database!$BF$58),-1,card_database!$BF$58)</f>
        <v>-1</v>
      </c>
      <c r="BG58">
        <f>IF(ISBLANK(card_database!$BG$58),-1,card_database!$BG$58)</f>
        <v>-1</v>
      </c>
      <c r="BH58">
        <f>IF(ISBLANK(card_database!$BB$58),-1,card_database!$BB$58)</f>
        <v>-1</v>
      </c>
      <c r="BI58">
        <f>IF(ISBLANK(card_database!$BC$58),-1,card_database!$BC$58)</f>
        <v>-1</v>
      </c>
      <c r="BJ58">
        <f>IF(ISBLANK(card_database!$BD$58),-1,MATCH(card_database!$BD$58,わざ, 0) - 1)</f>
        <v>-1</v>
      </c>
    </row>
    <row r="59" spans="1:62" x14ac:dyDescent="0.55000000000000004">
      <c r="A59">
        <f>IF(ISBLANK(card_database!$A$59),-1,card_database!$A$59)</f>
        <v>53</v>
      </c>
      <c r="B59" t="str">
        <f>IF(ISBLANK(card_database!$B$59),-1,card_database!$B$59)</f>
        <v>山</v>
      </c>
      <c r="C59" t="str">
        <f>IF(ISBLANK(card_database!$C$59),-1,card_database!$C$59)</f>
        <v>フィールド上に表側表示で存在するドラゴン族・鳥獣族・雷族モンスターの攻撃力・守備力は２００ポイントアップする。</v>
      </c>
      <c r="D59">
        <f>IF(ISBLANK(card_database!$D$59),-1,card_database!$D$59)</f>
        <v>53</v>
      </c>
      <c r="E59">
        <f>IF(ISBLANK(card_database!$E$59),-1,MATCH(card_database!$E$59,タイプ, 0) - 1)</f>
        <v>-1</v>
      </c>
      <c r="F59">
        <f>IF(ISBLANK(card_database!$F$59),-1,MATCH(card_database!$F$59,タイプ詳細, 0) - 1)</f>
        <v>-1</v>
      </c>
      <c r="G59">
        <f>IF(ISBLANK(card_database!$G$59),-1,card_database!$G$59)</f>
        <v>-1</v>
      </c>
      <c r="H59">
        <f>IF(ISBLANK(card_database!$H$59),-1,card_database!$H$59)</f>
        <v>-1</v>
      </c>
      <c r="I59">
        <f>IF(ISBLANK(card_database!$I$59),-1,MATCH(card_database!$I$59,属性, 0) - 1)</f>
        <v>-1</v>
      </c>
      <c r="J59">
        <f>IF(ISBLANK(card_database!$J$59),-1,MATCH(card_database!$J$59,種族, 0) - 1)</f>
        <v>-1</v>
      </c>
      <c r="K59">
        <f>IF(ISBLANK(card_database!$K$59),-1,card_database!$K$59)</f>
        <v>-1</v>
      </c>
      <c r="L59">
        <f>IF(ISBLANK(card_database!$L$59),-1,card_database!$L$59)</f>
        <v>-1</v>
      </c>
      <c r="M59">
        <f>IF(ISBLANK(card_database!$M$59),-1,card_database!$M$59)</f>
        <v>-1</v>
      </c>
      <c r="N59">
        <f>IF(ISBLANK(card_database!$N$59),-1,card_database!$N$59)</f>
        <v>-1</v>
      </c>
      <c r="O59">
        <f>IF(ISBLANK(card_database!$O$59),-1,card_database!$O$59)</f>
        <v>-1</v>
      </c>
      <c r="P59">
        <f>IF(ISBLANK(card_database!$P$59),-1,MATCH(card_database!$P$59,条件, 0) - 1)</f>
        <v>-1</v>
      </c>
      <c r="Q59">
        <f>IF(ISBLANK(card_database!$Q$59),-1,MATCH(card_database!$Q$59,条件, 0) - 1)</f>
        <v>-1</v>
      </c>
      <c r="R59">
        <f>IF(ISBLANK(card_database!$R$59),-1,card_database!$R$59)</f>
        <v>-1</v>
      </c>
      <c r="S59">
        <f>IF(ISBLANK(card_database!$S$59),-1,card_database!$S$59)</f>
        <v>-1</v>
      </c>
      <c r="T59">
        <f>IF(ISBLANK(card_database!$T$59),-1,MATCH(card_database!$T$59,効果, 0) - 1)</f>
        <v>-1</v>
      </c>
      <c r="U59">
        <f>IF(ISBLANK(card_database!$U$59),-1,card_database!$U$59)</f>
        <v>-1</v>
      </c>
      <c r="V59">
        <f>IF(ISBLANK(card_database!$V$59),-1,card_database!$V$59)</f>
        <v>-1</v>
      </c>
      <c r="W59">
        <f>IF(ISBLANK(card_database!$W$59),-1,MATCH(card_database!$W$59,条件, 0) - 1)</f>
        <v>-1</v>
      </c>
      <c r="X59">
        <f>IF(ISBLANK(card_database!$X$59),-1,card_database!$X$59)</f>
        <v>-1</v>
      </c>
      <c r="Y59">
        <f>IF(ISBLANK(card_database!$Y$59),-1,card_database!$Y$59)</f>
        <v>-1</v>
      </c>
      <c r="Z59">
        <f>IF(ISBLANK(card_database!$Z$59),-1,MATCH(card_database!$Z$59,効果, 0) - 1)</f>
        <v>-1</v>
      </c>
      <c r="AA59">
        <f>IF(ISBLANK(card_database!$AA$59),-1,card_database!$AA$59)</f>
        <v>-1</v>
      </c>
      <c r="AB59">
        <f>IF(ISBLANK(card_database!$AB$59),-1,card_database!$AB$59)</f>
        <v>-1</v>
      </c>
      <c r="AC59">
        <f>IF(ISBLANK(card_database!$AC$59),-1,MATCH(card_database!$AC$59,条件, 0) - 1)</f>
        <v>-1</v>
      </c>
      <c r="AD59">
        <f>IF(ISBLANK(card_database!$AD$59),-1,card_database!$AD$59)</f>
        <v>-1</v>
      </c>
      <c r="AE59">
        <f>IF(ISBLANK(card_database!$AE$59),-1,card_database!$AE$59)</f>
        <v>-1</v>
      </c>
      <c r="AF59">
        <f>IF(ISBLANK(card_database!$AF$59),-1,MATCH(card_database!$AF$59,効果, 0) - 1)</f>
        <v>-1</v>
      </c>
      <c r="AG59">
        <f>IF(ISBLANK(card_database!$AG$59),-1,card_database!$AG$59)</f>
        <v>-1</v>
      </c>
      <c r="AH59">
        <f>IF(ISBLANK(card_database!$AH$59),-1,card_database!$AH$59)</f>
        <v>-1</v>
      </c>
      <c r="AI59">
        <f>IF(ISBLANK(card_database!$AI$59),-1,MATCH(card_database!$AI$59,条件, 0) - 1)</f>
        <v>-1</v>
      </c>
      <c r="AJ59">
        <f>IF(ISBLANK(card_database!$AJ$59),-1,card_database!$AJ$59)</f>
        <v>-1</v>
      </c>
      <c r="AK59">
        <f>IF(ISBLANK(card_database!$AK$59),-1,card_database!$AK$59)</f>
        <v>-1</v>
      </c>
      <c r="AL59">
        <f>IF(ISBLANK(card_database!$AL$59),-1,MATCH(card_database!$AL$59,わざ, 0) - 1)</f>
        <v>-1</v>
      </c>
      <c r="AM59">
        <f>IF(ISBLANK(card_database!$AM$59),-1,card_database!$AM$59)</f>
        <v>-1</v>
      </c>
      <c r="AN59">
        <f>IF(ISBLANK(card_database!$AN$59),-1,card_database!$AN$59)</f>
        <v>-1</v>
      </c>
      <c r="AO59">
        <f>IF(ISBLANK(card_database!$AO$59),-1,MATCH(card_database!$AO$59,条件, 0) - 1)</f>
        <v>-1</v>
      </c>
      <c r="AP59">
        <f>IF(ISBLANK(card_database!$AP$59),-1,card_database!$AP$59)</f>
        <v>-1</v>
      </c>
      <c r="AQ59">
        <f>IF(ISBLANK(card_database!$AQ$59),-1,card_database!$AQ$59)</f>
        <v>-1</v>
      </c>
      <c r="AR59">
        <f>IF(ISBLANK(card_database!$AR$59),-1,MATCH(card_database!$AR$59,わざ, 0) - 1)</f>
        <v>-1</v>
      </c>
      <c r="AS59">
        <f>IF(ISBLANK(card_database!$AS$59),-1,card_database!$AS$59)</f>
        <v>-1</v>
      </c>
      <c r="AT59">
        <f>IF(ISBLANK(card_database!$AT$59),-1,card_database!$AT$59)</f>
        <v>-1</v>
      </c>
      <c r="AU59">
        <f>IF(ISBLANK(card_database!$AU$59),-1,MATCH(card_database!$AU$59,条件, 0) - 1)</f>
        <v>-1</v>
      </c>
      <c r="AV59">
        <f>IF(ISBLANK(card_database!$AV$59),-1,card_database!$AV$59)</f>
        <v>-1</v>
      </c>
      <c r="AW59">
        <f>IF(ISBLANK(card_database!$AW$59),-1,card_database!$AW$59)</f>
        <v>-1</v>
      </c>
      <c r="AX59">
        <f>IF(ISBLANK(card_database!$AX$59),-1,MATCH(card_database!$AX$59,わざ, 0) - 1)</f>
        <v>-1</v>
      </c>
      <c r="AY59">
        <f>IF(ISBLANK(card_database!$AY$59),-1,card_database!$AY$59)</f>
        <v>-1</v>
      </c>
      <c r="AZ59">
        <f>IF(ISBLANK(card_database!$AZ$59),-1,card_database!$AZ$59)</f>
        <v>-1</v>
      </c>
      <c r="BA59">
        <f>IF(ISBLANK(card_database!$BA$59),-1,MATCH(card_database!$BA$59,条件, 0) - 1)</f>
        <v>-1</v>
      </c>
      <c r="BB59">
        <f>IF(ISBLANK(card_database!$BB$59),-1,card_database!$BB$59)</f>
        <v>-1</v>
      </c>
      <c r="BC59">
        <f>IF(ISBLANK(card_database!$BC$59),-1,card_database!$BC$59)</f>
        <v>-1</v>
      </c>
      <c r="BD59">
        <f>IF(ISBLANK(card_database!$BD$59),-1,MATCH(card_database!$BD$59,わざ, 0) - 1)</f>
        <v>-1</v>
      </c>
      <c r="BE59">
        <f>IF(ISBLANK(card_database!$BE$59),-1,card_database!$BE$59)</f>
        <v>-1</v>
      </c>
      <c r="BF59">
        <f>IF(ISBLANK(card_database!$BF$59),-1,card_database!$BF$59)</f>
        <v>-1</v>
      </c>
      <c r="BG59">
        <f>IF(ISBLANK(card_database!$BG$59),-1,card_database!$BG$59)</f>
        <v>-1</v>
      </c>
      <c r="BH59">
        <f>IF(ISBLANK(card_database!$BB$59),-1,card_database!$BB$59)</f>
        <v>-1</v>
      </c>
      <c r="BI59">
        <f>IF(ISBLANK(card_database!$BC$59),-1,card_database!$BC$59)</f>
        <v>-1</v>
      </c>
      <c r="BJ59">
        <f>IF(ISBLANK(card_database!$BD$59),-1,MATCH(card_database!$BD$59,わざ, 0) - 1)</f>
        <v>-1</v>
      </c>
    </row>
    <row r="60" spans="1:62" x14ac:dyDescent="0.55000000000000004">
      <c r="A60">
        <f>IF(ISBLANK(card_database!$A$60),-1,card_database!$A$60)</f>
        <v>54</v>
      </c>
      <c r="B60" t="str">
        <f>IF(ISBLANK(card_database!$B$60),-1,card_database!$B$60)</f>
        <v>闇</v>
      </c>
      <c r="C60" t="str">
        <f>IF(ISBLANK(card_database!$C$60),-1,card_database!$C$60)</f>
        <v>フィールド上に表側表示で存在する悪魔族・魔法使い族モンスターの攻撃力・守備力は２００ポイントアップする。フィールド上に表側表示で存在する天使族モンスターの攻撃力・守備力は２００ポイントダウンする。</v>
      </c>
      <c r="D60">
        <f>IF(ISBLANK(card_database!$D$60),-1,card_database!$D$60)</f>
        <v>54</v>
      </c>
      <c r="E60">
        <f>IF(ISBLANK(card_database!$E$60),-1,MATCH(card_database!$E$60,タイプ, 0) - 1)</f>
        <v>-1</v>
      </c>
      <c r="F60">
        <f>IF(ISBLANK(card_database!$F$60),-1,MATCH(card_database!$F$60,タイプ詳細, 0) - 1)</f>
        <v>-1</v>
      </c>
      <c r="G60">
        <f>IF(ISBLANK(card_database!$G$60),-1,card_database!$G$60)</f>
        <v>-1</v>
      </c>
      <c r="H60">
        <f>IF(ISBLANK(card_database!$H$60),-1,card_database!$H$60)</f>
        <v>-1</v>
      </c>
      <c r="I60">
        <f>IF(ISBLANK(card_database!$I$60),-1,MATCH(card_database!$I$60,属性, 0) - 1)</f>
        <v>-1</v>
      </c>
      <c r="J60">
        <f>IF(ISBLANK(card_database!$J$60),-1,MATCH(card_database!$J$60,種族, 0) - 1)</f>
        <v>-1</v>
      </c>
      <c r="K60">
        <f>IF(ISBLANK(card_database!$K$60),-1,card_database!$K$60)</f>
        <v>-1</v>
      </c>
      <c r="L60">
        <f>IF(ISBLANK(card_database!$L$60),-1,card_database!$L$60)</f>
        <v>-1</v>
      </c>
      <c r="M60">
        <f>IF(ISBLANK(card_database!$M$60),-1,card_database!$M$60)</f>
        <v>-1</v>
      </c>
      <c r="N60">
        <f>IF(ISBLANK(card_database!$N$60),-1,card_database!$N$60)</f>
        <v>-1</v>
      </c>
      <c r="O60">
        <f>IF(ISBLANK(card_database!$O$60),-1,card_database!$O$60)</f>
        <v>-1</v>
      </c>
      <c r="P60">
        <f>IF(ISBLANK(card_database!$P$60),-1,MATCH(card_database!$P$60,条件, 0) - 1)</f>
        <v>-1</v>
      </c>
      <c r="Q60">
        <f>IF(ISBLANK(card_database!$Q$60),-1,MATCH(card_database!$Q$60,条件, 0) - 1)</f>
        <v>-1</v>
      </c>
      <c r="R60">
        <f>IF(ISBLANK(card_database!$R$60),-1,card_database!$R$60)</f>
        <v>-1</v>
      </c>
      <c r="S60">
        <f>IF(ISBLANK(card_database!$S$60),-1,card_database!$S$60)</f>
        <v>-1</v>
      </c>
      <c r="T60">
        <f>IF(ISBLANK(card_database!$T$60),-1,MATCH(card_database!$T$60,効果, 0) - 1)</f>
        <v>-1</v>
      </c>
      <c r="U60">
        <f>IF(ISBLANK(card_database!$U$60),-1,card_database!$U$60)</f>
        <v>-1</v>
      </c>
      <c r="V60">
        <f>IF(ISBLANK(card_database!$V$60),-1,card_database!$V$60)</f>
        <v>-1</v>
      </c>
      <c r="W60">
        <f>IF(ISBLANK(card_database!$W$60),-1,MATCH(card_database!$W$60,条件, 0) - 1)</f>
        <v>-1</v>
      </c>
      <c r="X60">
        <f>IF(ISBLANK(card_database!$X$60),-1,card_database!$X$60)</f>
        <v>-1</v>
      </c>
      <c r="Y60">
        <f>IF(ISBLANK(card_database!$Y$60),-1,card_database!$Y$60)</f>
        <v>-1</v>
      </c>
      <c r="Z60">
        <f>IF(ISBLANK(card_database!$Z$60),-1,MATCH(card_database!$Z$60,効果, 0) - 1)</f>
        <v>-1</v>
      </c>
      <c r="AA60">
        <f>IF(ISBLANK(card_database!$AA$60),-1,card_database!$AA$60)</f>
        <v>-1</v>
      </c>
      <c r="AB60">
        <f>IF(ISBLANK(card_database!$AB$60),-1,card_database!$AB$60)</f>
        <v>-1</v>
      </c>
      <c r="AC60">
        <f>IF(ISBLANK(card_database!$AC$60),-1,MATCH(card_database!$AC$60,条件, 0) - 1)</f>
        <v>-1</v>
      </c>
      <c r="AD60">
        <f>IF(ISBLANK(card_database!$AD$60),-1,card_database!$AD$60)</f>
        <v>-1</v>
      </c>
      <c r="AE60">
        <f>IF(ISBLANK(card_database!$AE$60),-1,card_database!$AE$60)</f>
        <v>-1</v>
      </c>
      <c r="AF60">
        <f>IF(ISBLANK(card_database!$AF$60),-1,MATCH(card_database!$AF$60,効果, 0) - 1)</f>
        <v>-1</v>
      </c>
      <c r="AG60">
        <f>IF(ISBLANK(card_database!$AG$60),-1,card_database!$AG$60)</f>
        <v>-1</v>
      </c>
      <c r="AH60">
        <f>IF(ISBLANK(card_database!$AH$60),-1,card_database!$AH$60)</f>
        <v>-1</v>
      </c>
      <c r="AI60">
        <f>IF(ISBLANK(card_database!$AI$60),-1,MATCH(card_database!$AI$60,条件, 0) - 1)</f>
        <v>-1</v>
      </c>
      <c r="AJ60">
        <f>IF(ISBLANK(card_database!$AJ$60),-1,card_database!$AJ$60)</f>
        <v>-1</v>
      </c>
      <c r="AK60">
        <f>IF(ISBLANK(card_database!$AK$60),-1,card_database!$AK$60)</f>
        <v>-1</v>
      </c>
      <c r="AL60">
        <f>IF(ISBLANK(card_database!$AL$60),-1,MATCH(card_database!$AL$60,わざ, 0) - 1)</f>
        <v>-1</v>
      </c>
      <c r="AM60">
        <f>IF(ISBLANK(card_database!$AM$60),-1,card_database!$AM$60)</f>
        <v>-1</v>
      </c>
      <c r="AN60">
        <f>IF(ISBLANK(card_database!$AN$60),-1,card_database!$AN$60)</f>
        <v>-1</v>
      </c>
      <c r="AO60">
        <f>IF(ISBLANK(card_database!$AO$60),-1,MATCH(card_database!$AO$60,条件, 0) - 1)</f>
        <v>-1</v>
      </c>
      <c r="AP60">
        <f>IF(ISBLANK(card_database!$AP$60),-1,card_database!$AP$60)</f>
        <v>-1</v>
      </c>
      <c r="AQ60">
        <f>IF(ISBLANK(card_database!$AQ$60),-1,card_database!$AQ$60)</f>
        <v>-1</v>
      </c>
      <c r="AR60">
        <f>IF(ISBLANK(card_database!$AR$60),-1,MATCH(card_database!$AR$60,わざ, 0) - 1)</f>
        <v>-1</v>
      </c>
      <c r="AS60">
        <f>IF(ISBLANK(card_database!$AS$60),-1,card_database!$AS$60)</f>
        <v>-1</v>
      </c>
      <c r="AT60">
        <f>IF(ISBLANK(card_database!$AT$60),-1,card_database!$AT$60)</f>
        <v>-1</v>
      </c>
      <c r="AU60">
        <f>IF(ISBLANK(card_database!$AU$60),-1,MATCH(card_database!$AU$60,条件, 0) - 1)</f>
        <v>-1</v>
      </c>
      <c r="AV60">
        <f>IF(ISBLANK(card_database!$AV$60),-1,card_database!$AV$60)</f>
        <v>-1</v>
      </c>
      <c r="AW60">
        <f>IF(ISBLANK(card_database!$AW$60),-1,card_database!$AW$60)</f>
        <v>-1</v>
      </c>
      <c r="AX60">
        <f>IF(ISBLANK(card_database!$AX$60),-1,MATCH(card_database!$AX$60,わざ, 0) - 1)</f>
        <v>-1</v>
      </c>
      <c r="AY60">
        <f>IF(ISBLANK(card_database!$AY$60),-1,card_database!$AY$60)</f>
        <v>-1</v>
      </c>
      <c r="AZ60">
        <f>IF(ISBLANK(card_database!$AZ$60),-1,card_database!$AZ$60)</f>
        <v>-1</v>
      </c>
      <c r="BA60">
        <f>IF(ISBLANK(card_database!$BA$60),-1,MATCH(card_database!$BA$60,条件, 0) - 1)</f>
        <v>-1</v>
      </c>
      <c r="BB60">
        <f>IF(ISBLANK(card_database!$BB$60),-1,card_database!$BB$60)</f>
        <v>-1</v>
      </c>
      <c r="BC60">
        <f>IF(ISBLANK(card_database!$BC$60),-1,card_database!$BC$60)</f>
        <v>-1</v>
      </c>
      <c r="BD60">
        <f>IF(ISBLANK(card_database!$BD$60),-1,MATCH(card_database!$BD$60,わざ, 0) - 1)</f>
        <v>-1</v>
      </c>
      <c r="BE60">
        <f>IF(ISBLANK(card_database!$BE$60),-1,card_database!$BE$60)</f>
        <v>-1</v>
      </c>
      <c r="BF60">
        <f>IF(ISBLANK(card_database!$BF$60),-1,card_database!$BF$60)</f>
        <v>-1</v>
      </c>
      <c r="BG60">
        <f>IF(ISBLANK(card_database!$BG$60),-1,card_database!$BG$60)</f>
        <v>-1</v>
      </c>
      <c r="BH60">
        <f>IF(ISBLANK(card_database!$BB$60),-1,card_database!$BB$60)</f>
        <v>-1</v>
      </c>
      <c r="BI60">
        <f>IF(ISBLANK(card_database!$BC$60),-1,card_database!$BC$60)</f>
        <v>-1</v>
      </c>
      <c r="BJ60">
        <f>IF(ISBLANK(card_database!$BD$60),-1,MATCH(card_database!$BD$60,わざ, 0) - 1)</f>
        <v>-1</v>
      </c>
    </row>
    <row r="61" spans="1:62" x14ac:dyDescent="0.55000000000000004">
      <c r="A61">
        <f>IF(ISBLANK(card_database!$A$61),-1,card_database!$A$61)</f>
        <v>55</v>
      </c>
      <c r="B61" t="str">
        <f>IF(ISBLANK(card_database!$B$61),-1,card_database!$B$61)</f>
        <v>融合</v>
      </c>
      <c r="C61" t="str">
        <f>IF(ISBLANK(card_database!$C$61),-1,card_database!$C$61)</f>
        <v>手札・自分フィールド上から、融合モンスターカードによって決められた融合素材モンスターを墓地へ送り、その融合モンスター１体をエクストラデッキから特殊召喚する。</v>
      </c>
      <c r="D61">
        <f>IF(ISBLANK(card_database!$D$61),-1,card_database!$D$61)</f>
        <v>55</v>
      </c>
      <c r="E61">
        <f>IF(ISBLANK(card_database!$E$61),-1,MATCH(card_database!$E$61,タイプ, 0) - 1)</f>
        <v>-1</v>
      </c>
      <c r="F61">
        <f>IF(ISBLANK(card_database!$F$61),-1,MATCH(card_database!$F$61,タイプ詳細, 0) - 1)</f>
        <v>-1</v>
      </c>
      <c r="G61">
        <f>IF(ISBLANK(card_database!$G$61),-1,card_database!$G$61)</f>
        <v>-1</v>
      </c>
      <c r="H61">
        <f>IF(ISBLANK(card_database!$H$61),-1,card_database!$H$61)</f>
        <v>-1</v>
      </c>
      <c r="I61">
        <f>IF(ISBLANK(card_database!$I$61),-1,MATCH(card_database!$I$61,属性, 0) - 1)</f>
        <v>-1</v>
      </c>
      <c r="J61">
        <f>IF(ISBLANK(card_database!$J$61),-1,MATCH(card_database!$J$61,種族, 0) - 1)</f>
        <v>-1</v>
      </c>
      <c r="K61">
        <f>IF(ISBLANK(card_database!$K$61),-1,card_database!$K$61)</f>
        <v>-1</v>
      </c>
      <c r="L61">
        <f>IF(ISBLANK(card_database!$L$61),-1,card_database!$L$61)</f>
        <v>-1</v>
      </c>
      <c r="M61">
        <f>IF(ISBLANK(card_database!$M$61),-1,card_database!$M$61)</f>
        <v>-1</v>
      </c>
      <c r="N61">
        <f>IF(ISBLANK(card_database!$N$61),-1,card_database!$N$61)</f>
        <v>-1</v>
      </c>
      <c r="O61">
        <f>IF(ISBLANK(card_database!$O$61),-1,card_database!$O$61)</f>
        <v>-1</v>
      </c>
      <c r="P61">
        <f>IF(ISBLANK(card_database!$P$61),-1,MATCH(card_database!$P$61,条件, 0) - 1)</f>
        <v>-1</v>
      </c>
      <c r="Q61">
        <f>IF(ISBLANK(card_database!$Q$61),-1,MATCH(card_database!$Q$61,条件, 0) - 1)</f>
        <v>-1</v>
      </c>
      <c r="R61">
        <f>IF(ISBLANK(card_database!$R$61),-1,card_database!$R$61)</f>
        <v>-1</v>
      </c>
      <c r="S61">
        <f>IF(ISBLANK(card_database!$S$61),-1,card_database!$S$61)</f>
        <v>-1</v>
      </c>
      <c r="T61">
        <f>IF(ISBLANK(card_database!$T$61),-1,MATCH(card_database!$T$61,効果, 0) - 1)</f>
        <v>-1</v>
      </c>
      <c r="U61">
        <f>IF(ISBLANK(card_database!$U$61),-1,card_database!$U$61)</f>
        <v>-1</v>
      </c>
      <c r="V61">
        <f>IF(ISBLANK(card_database!$V$61),-1,card_database!$V$61)</f>
        <v>-1</v>
      </c>
      <c r="W61">
        <f>IF(ISBLANK(card_database!$W$61),-1,MATCH(card_database!$W$61,条件, 0) - 1)</f>
        <v>-1</v>
      </c>
      <c r="X61">
        <f>IF(ISBLANK(card_database!$X$61),-1,card_database!$X$61)</f>
        <v>-1</v>
      </c>
      <c r="Y61">
        <f>IF(ISBLANK(card_database!$Y$61),-1,card_database!$Y$61)</f>
        <v>-1</v>
      </c>
      <c r="Z61">
        <f>IF(ISBLANK(card_database!$Z$61),-1,MATCH(card_database!$Z$61,効果, 0) - 1)</f>
        <v>-1</v>
      </c>
      <c r="AA61">
        <f>IF(ISBLANK(card_database!$AA$61),-1,card_database!$AA$61)</f>
        <v>-1</v>
      </c>
      <c r="AB61">
        <f>IF(ISBLANK(card_database!$AB$61),-1,card_database!$AB$61)</f>
        <v>-1</v>
      </c>
      <c r="AC61">
        <f>IF(ISBLANK(card_database!$AC$61),-1,MATCH(card_database!$AC$61,条件, 0) - 1)</f>
        <v>-1</v>
      </c>
      <c r="AD61">
        <f>IF(ISBLANK(card_database!$AD$61),-1,card_database!$AD$61)</f>
        <v>-1</v>
      </c>
      <c r="AE61">
        <f>IF(ISBLANK(card_database!$AE$61),-1,card_database!$AE$61)</f>
        <v>-1</v>
      </c>
      <c r="AF61">
        <f>IF(ISBLANK(card_database!$AF$61),-1,MATCH(card_database!$AF$61,効果, 0) - 1)</f>
        <v>-1</v>
      </c>
      <c r="AG61">
        <f>IF(ISBLANK(card_database!$AG$61),-1,card_database!$AG$61)</f>
        <v>-1</v>
      </c>
      <c r="AH61">
        <f>IF(ISBLANK(card_database!$AH$61),-1,card_database!$AH$61)</f>
        <v>-1</v>
      </c>
      <c r="AI61">
        <f>IF(ISBLANK(card_database!$AI$61),-1,MATCH(card_database!$AI$61,条件, 0) - 1)</f>
        <v>-1</v>
      </c>
      <c r="AJ61">
        <f>IF(ISBLANK(card_database!$AJ$61),-1,card_database!$AJ$61)</f>
        <v>-1</v>
      </c>
      <c r="AK61">
        <f>IF(ISBLANK(card_database!$AK$61),-1,card_database!$AK$61)</f>
        <v>-1</v>
      </c>
      <c r="AL61">
        <f>IF(ISBLANK(card_database!$AL$61),-1,MATCH(card_database!$AL$61,わざ, 0) - 1)</f>
        <v>-1</v>
      </c>
      <c r="AM61">
        <f>IF(ISBLANK(card_database!$AM$61),-1,card_database!$AM$61)</f>
        <v>-1</v>
      </c>
      <c r="AN61">
        <f>IF(ISBLANK(card_database!$AN$61),-1,card_database!$AN$61)</f>
        <v>-1</v>
      </c>
      <c r="AO61">
        <f>IF(ISBLANK(card_database!$AO$61),-1,MATCH(card_database!$AO$61,条件, 0) - 1)</f>
        <v>-1</v>
      </c>
      <c r="AP61">
        <f>IF(ISBLANK(card_database!$AP$61),-1,card_database!$AP$61)</f>
        <v>-1</v>
      </c>
      <c r="AQ61">
        <f>IF(ISBLANK(card_database!$AQ$61),-1,card_database!$AQ$61)</f>
        <v>-1</v>
      </c>
      <c r="AR61">
        <f>IF(ISBLANK(card_database!$AR$61),-1,MATCH(card_database!$AR$61,わざ, 0) - 1)</f>
        <v>-1</v>
      </c>
      <c r="AS61">
        <f>IF(ISBLANK(card_database!$AS$61),-1,card_database!$AS$61)</f>
        <v>-1</v>
      </c>
      <c r="AT61">
        <f>IF(ISBLANK(card_database!$AT$61),-1,card_database!$AT$61)</f>
        <v>-1</v>
      </c>
      <c r="AU61">
        <f>IF(ISBLANK(card_database!$AU$61),-1,MATCH(card_database!$AU$61,条件, 0) - 1)</f>
        <v>-1</v>
      </c>
      <c r="AV61">
        <f>IF(ISBLANK(card_database!$AV$61),-1,card_database!$AV$61)</f>
        <v>-1</v>
      </c>
      <c r="AW61">
        <f>IF(ISBLANK(card_database!$AW$61),-1,card_database!$AW$61)</f>
        <v>-1</v>
      </c>
      <c r="AX61">
        <f>IF(ISBLANK(card_database!$AX$61),-1,MATCH(card_database!$AX$61,わざ, 0) - 1)</f>
        <v>-1</v>
      </c>
      <c r="AY61">
        <f>IF(ISBLANK(card_database!$AY$61),-1,card_database!$AY$61)</f>
        <v>-1</v>
      </c>
      <c r="AZ61">
        <f>IF(ISBLANK(card_database!$AZ$61),-1,card_database!$AZ$61)</f>
        <v>-1</v>
      </c>
      <c r="BA61">
        <f>IF(ISBLANK(card_database!$BA$61),-1,MATCH(card_database!$BA$61,条件, 0) - 1)</f>
        <v>-1</v>
      </c>
      <c r="BB61">
        <f>IF(ISBLANK(card_database!$BB$61),-1,card_database!$BB$61)</f>
        <v>-1</v>
      </c>
      <c r="BC61">
        <f>IF(ISBLANK(card_database!$BC$61),-1,card_database!$BC$61)</f>
        <v>-1</v>
      </c>
      <c r="BD61">
        <f>IF(ISBLANK(card_database!$BD$61),-1,MATCH(card_database!$BD$61,わざ, 0) - 1)</f>
        <v>-1</v>
      </c>
      <c r="BE61">
        <f>IF(ISBLANK(card_database!$BE$61),-1,card_database!$BE$61)</f>
        <v>-1</v>
      </c>
      <c r="BF61">
        <f>IF(ISBLANK(card_database!$BF$61),-1,card_database!$BF$61)</f>
        <v>-1</v>
      </c>
      <c r="BG61">
        <f>IF(ISBLANK(card_database!$BG$61),-1,card_database!$BG$61)</f>
        <v>-1</v>
      </c>
      <c r="BH61">
        <f>IF(ISBLANK(card_database!$BB$61),-1,card_database!$BB$61)</f>
        <v>-1</v>
      </c>
      <c r="BI61">
        <f>IF(ISBLANK(card_database!$BC$61),-1,card_database!$BC$61)</f>
        <v>-1</v>
      </c>
      <c r="BJ61">
        <f>IF(ISBLANK(card_database!$BD$61),-1,MATCH(card_database!$BD$61,わざ, 0) - 1)</f>
        <v>-1</v>
      </c>
    </row>
    <row r="62" spans="1:62" x14ac:dyDescent="0.55000000000000004">
      <c r="A62">
        <f>IF(ISBLANK(card_database!$A$62),-1,card_database!$A$62)</f>
        <v>56</v>
      </c>
      <c r="B62" t="str">
        <f>IF(ISBLANK(card_database!$B$62),-1,card_database!$B$62)</f>
        <v>罠はずし</v>
      </c>
      <c r="C62" t="str">
        <f>IF(ISBLANK(card_database!$C$62),-1,card_database!$C$62)</f>
        <v>表側表示でフィールド上に存在する罠カードを１枚選択して破壊する。</v>
      </c>
      <c r="D62">
        <f>IF(ISBLANK(card_database!$D$62),-1,card_database!$D$62)</f>
        <v>56</v>
      </c>
      <c r="E62">
        <f>IF(ISBLANK(card_database!$E$62),-1,MATCH(card_database!$E$62,タイプ, 0) - 1)</f>
        <v>-1</v>
      </c>
      <c r="F62">
        <f>IF(ISBLANK(card_database!$F$62),-1,MATCH(card_database!$F$62,タイプ詳細, 0) - 1)</f>
        <v>-1</v>
      </c>
      <c r="G62">
        <f>IF(ISBLANK(card_database!$G$62),-1,card_database!$G$62)</f>
        <v>-1</v>
      </c>
      <c r="H62">
        <f>IF(ISBLANK(card_database!$H$62),-1,card_database!$H$62)</f>
        <v>-1</v>
      </c>
      <c r="I62">
        <f>IF(ISBLANK(card_database!$I$62),-1,MATCH(card_database!$I$62,属性, 0) - 1)</f>
        <v>-1</v>
      </c>
      <c r="J62">
        <f>IF(ISBLANK(card_database!$J$62),-1,MATCH(card_database!$J$62,種族, 0) - 1)</f>
        <v>-1</v>
      </c>
      <c r="K62">
        <f>IF(ISBLANK(card_database!$K$62),-1,card_database!$K$62)</f>
        <v>-1</v>
      </c>
      <c r="L62">
        <f>IF(ISBLANK(card_database!$L$62),-1,card_database!$L$62)</f>
        <v>-1</v>
      </c>
      <c r="M62">
        <f>IF(ISBLANK(card_database!$M$62),-1,card_database!$M$62)</f>
        <v>-1</v>
      </c>
      <c r="N62">
        <f>IF(ISBLANK(card_database!$N$62),-1,card_database!$N$62)</f>
        <v>-1</v>
      </c>
      <c r="O62">
        <f>IF(ISBLANK(card_database!$O$62),-1,card_database!$O$62)</f>
        <v>-1</v>
      </c>
      <c r="P62">
        <f>IF(ISBLANK(card_database!$P$62),-1,MATCH(card_database!$P$62,条件, 0) - 1)</f>
        <v>-1</v>
      </c>
      <c r="Q62">
        <f>IF(ISBLANK(card_database!$Q$62),-1,MATCH(card_database!$Q$62,条件, 0) - 1)</f>
        <v>-1</v>
      </c>
      <c r="R62">
        <f>IF(ISBLANK(card_database!$R$62),-1,card_database!$R$62)</f>
        <v>-1</v>
      </c>
      <c r="S62">
        <f>IF(ISBLANK(card_database!$S$62),-1,card_database!$S$62)</f>
        <v>-1</v>
      </c>
      <c r="T62">
        <f>IF(ISBLANK(card_database!$T$62),-1,MATCH(card_database!$T$62,効果, 0) - 1)</f>
        <v>-1</v>
      </c>
      <c r="U62">
        <f>IF(ISBLANK(card_database!$U$62),-1,card_database!$U$62)</f>
        <v>-1</v>
      </c>
      <c r="V62">
        <f>IF(ISBLANK(card_database!$V$62),-1,card_database!$V$62)</f>
        <v>-1</v>
      </c>
      <c r="W62">
        <f>IF(ISBLANK(card_database!$W$62),-1,MATCH(card_database!$W$62,条件, 0) - 1)</f>
        <v>-1</v>
      </c>
      <c r="X62">
        <f>IF(ISBLANK(card_database!$X$62),-1,card_database!$X$62)</f>
        <v>-1</v>
      </c>
      <c r="Y62">
        <f>IF(ISBLANK(card_database!$Y$62),-1,card_database!$Y$62)</f>
        <v>-1</v>
      </c>
      <c r="Z62">
        <f>IF(ISBLANK(card_database!$Z$62),-1,MATCH(card_database!$Z$62,効果, 0) - 1)</f>
        <v>-1</v>
      </c>
      <c r="AA62">
        <f>IF(ISBLANK(card_database!$AA$62),-1,card_database!$AA$62)</f>
        <v>-1</v>
      </c>
      <c r="AB62">
        <f>IF(ISBLANK(card_database!$AB$62),-1,card_database!$AB$62)</f>
        <v>-1</v>
      </c>
      <c r="AC62">
        <f>IF(ISBLANK(card_database!$AC$62),-1,MATCH(card_database!$AC$62,条件, 0) - 1)</f>
        <v>-1</v>
      </c>
      <c r="AD62">
        <f>IF(ISBLANK(card_database!$AD$62),-1,card_database!$AD$62)</f>
        <v>-1</v>
      </c>
      <c r="AE62">
        <f>IF(ISBLANK(card_database!$AE$62),-1,card_database!$AE$62)</f>
        <v>-1</v>
      </c>
      <c r="AF62">
        <f>IF(ISBLANK(card_database!$AF$62),-1,MATCH(card_database!$AF$62,効果, 0) - 1)</f>
        <v>-1</v>
      </c>
      <c r="AG62">
        <f>IF(ISBLANK(card_database!$AG$62),-1,card_database!$AG$62)</f>
        <v>-1</v>
      </c>
      <c r="AH62">
        <f>IF(ISBLANK(card_database!$AH$62),-1,card_database!$AH$62)</f>
        <v>-1</v>
      </c>
      <c r="AI62">
        <f>IF(ISBLANK(card_database!$AI$62),-1,MATCH(card_database!$AI$62,条件, 0) - 1)</f>
        <v>-1</v>
      </c>
      <c r="AJ62">
        <f>IF(ISBLANK(card_database!$AJ$62),-1,card_database!$AJ$62)</f>
        <v>-1</v>
      </c>
      <c r="AK62">
        <f>IF(ISBLANK(card_database!$AK$62),-1,card_database!$AK$62)</f>
        <v>-1</v>
      </c>
      <c r="AL62">
        <f>IF(ISBLANK(card_database!$AL$62),-1,MATCH(card_database!$AL$62,わざ, 0) - 1)</f>
        <v>-1</v>
      </c>
      <c r="AM62">
        <f>IF(ISBLANK(card_database!$AM$62),-1,card_database!$AM$62)</f>
        <v>-1</v>
      </c>
      <c r="AN62">
        <f>IF(ISBLANK(card_database!$AN$62),-1,card_database!$AN$62)</f>
        <v>-1</v>
      </c>
      <c r="AO62">
        <f>IF(ISBLANK(card_database!$AO$62),-1,MATCH(card_database!$AO$62,条件, 0) - 1)</f>
        <v>-1</v>
      </c>
      <c r="AP62">
        <f>IF(ISBLANK(card_database!$AP$62),-1,card_database!$AP$62)</f>
        <v>-1</v>
      </c>
      <c r="AQ62">
        <f>IF(ISBLANK(card_database!$AQ$62),-1,card_database!$AQ$62)</f>
        <v>-1</v>
      </c>
      <c r="AR62">
        <f>IF(ISBLANK(card_database!$AR$62),-1,MATCH(card_database!$AR$62,わざ, 0) - 1)</f>
        <v>-1</v>
      </c>
      <c r="AS62">
        <f>IF(ISBLANK(card_database!$AS$62),-1,card_database!$AS$62)</f>
        <v>-1</v>
      </c>
      <c r="AT62">
        <f>IF(ISBLANK(card_database!$AT$62),-1,card_database!$AT$62)</f>
        <v>-1</v>
      </c>
      <c r="AU62">
        <f>IF(ISBLANK(card_database!$AU$62),-1,MATCH(card_database!$AU$62,条件, 0) - 1)</f>
        <v>-1</v>
      </c>
      <c r="AV62">
        <f>IF(ISBLANK(card_database!$AV$62),-1,card_database!$AV$62)</f>
        <v>-1</v>
      </c>
      <c r="AW62">
        <f>IF(ISBLANK(card_database!$AW$62),-1,card_database!$AW$62)</f>
        <v>-1</v>
      </c>
      <c r="AX62">
        <f>IF(ISBLANK(card_database!$AX$62),-1,MATCH(card_database!$AX$62,わざ, 0) - 1)</f>
        <v>-1</v>
      </c>
      <c r="AY62">
        <f>IF(ISBLANK(card_database!$AY$62),-1,card_database!$AY$62)</f>
        <v>-1</v>
      </c>
      <c r="AZ62">
        <f>IF(ISBLANK(card_database!$AZ$62),-1,card_database!$AZ$62)</f>
        <v>-1</v>
      </c>
      <c r="BA62">
        <f>IF(ISBLANK(card_database!$BA$62),-1,MATCH(card_database!$BA$62,条件, 0) - 1)</f>
        <v>-1</v>
      </c>
      <c r="BB62">
        <f>IF(ISBLANK(card_database!$BB$62),-1,card_database!$BB$62)</f>
        <v>-1</v>
      </c>
      <c r="BC62">
        <f>IF(ISBLANK(card_database!$BC$62),-1,card_database!$BC$62)</f>
        <v>-1</v>
      </c>
      <c r="BD62">
        <f>IF(ISBLANK(card_database!$BD$62),-1,MATCH(card_database!$BD$62,わざ, 0) - 1)</f>
        <v>-1</v>
      </c>
      <c r="BE62">
        <f>IF(ISBLANK(card_database!$BE$62),-1,card_database!$BE$62)</f>
        <v>-1</v>
      </c>
      <c r="BF62">
        <f>IF(ISBLANK(card_database!$BF$62),-1,card_database!$BF$62)</f>
        <v>-1</v>
      </c>
      <c r="BG62">
        <f>IF(ISBLANK(card_database!$BG$62),-1,card_database!$BG$62)</f>
        <v>-1</v>
      </c>
      <c r="BH62">
        <f>IF(ISBLANK(card_database!$BB$62),-1,card_database!$BB$62)</f>
        <v>-1</v>
      </c>
      <c r="BI62">
        <f>IF(ISBLANK(card_database!$BC$62),-1,card_database!$BC$62)</f>
        <v>-1</v>
      </c>
      <c r="BJ62">
        <f>IF(ISBLANK(card_database!$BD$62),-1,MATCH(card_database!$BD$62,わざ, 0) - 1)</f>
        <v>-1</v>
      </c>
    </row>
    <row r="63" spans="1:62" x14ac:dyDescent="0.55000000000000004">
      <c r="A63">
        <f>IF(ISBLANK(card_database!$A$63),-1,card_database!$A$63)</f>
        <v>57</v>
      </c>
      <c r="B63" t="str">
        <f>IF(ISBLANK(card_database!$B$63),-1,card_database!$B$63)</f>
        <v>ドラゴン族・封印の壺</v>
      </c>
      <c r="C63" t="str">
        <f>IF(ISBLANK(card_database!$C$63),-1,card_database!$C$63)</f>
        <v>このカードがフィールド上に存在する限り、全ての表側表示ドラゴン族モンスターは表側守備表示になり、その後表示形式変更を行う事はできない。</v>
      </c>
      <c r="D63">
        <f>IF(ISBLANK(card_database!$D$63),-1,card_database!$D$63)</f>
        <v>57</v>
      </c>
      <c r="E63">
        <f>IF(ISBLANK(card_database!$E$63),-1,MATCH(card_database!$E$63,タイプ, 0) - 1)</f>
        <v>-1</v>
      </c>
      <c r="F63">
        <f>IF(ISBLANK(card_database!$F$63),-1,MATCH(card_database!$F$63,タイプ詳細, 0) - 1)</f>
        <v>-1</v>
      </c>
      <c r="G63">
        <f>IF(ISBLANK(card_database!$G$63),-1,card_database!$G$63)</f>
        <v>-1</v>
      </c>
      <c r="H63">
        <f>IF(ISBLANK(card_database!$H$63),-1,card_database!$H$63)</f>
        <v>-1</v>
      </c>
      <c r="I63">
        <f>IF(ISBLANK(card_database!$I$63),-1,MATCH(card_database!$I$63,属性, 0) - 1)</f>
        <v>-1</v>
      </c>
      <c r="J63">
        <f>IF(ISBLANK(card_database!$J$63),-1,MATCH(card_database!$J$63,種族, 0) - 1)</f>
        <v>-1</v>
      </c>
      <c r="K63">
        <f>IF(ISBLANK(card_database!$K$63),-1,card_database!$K$63)</f>
        <v>-1</v>
      </c>
      <c r="L63">
        <f>IF(ISBLANK(card_database!$L$63),-1,card_database!$L$63)</f>
        <v>-1</v>
      </c>
      <c r="M63">
        <f>IF(ISBLANK(card_database!$M$63),-1,card_database!$M$63)</f>
        <v>-1</v>
      </c>
      <c r="N63">
        <f>IF(ISBLANK(card_database!$N$63),-1,card_database!$N$63)</f>
        <v>-1</v>
      </c>
      <c r="O63">
        <f>IF(ISBLANK(card_database!$O$63),-1,card_database!$O$63)</f>
        <v>-1</v>
      </c>
      <c r="P63">
        <f>IF(ISBLANK(card_database!$P$63),-1,MATCH(card_database!$P$63,条件, 0) - 1)</f>
        <v>-1</v>
      </c>
      <c r="Q63">
        <f>IF(ISBLANK(card_database!$Q$63),-1,MATCH(card_database!$Q$63,条件, 0) - 1)</f>
        <v>-1</v>
      </c>
      <c r="R63">
        <f>IF(ISBLANK(card_database!$R$63),-1,card_database!$R$63)</f>
        <v>-1</v>
      </c>
      <c r="S63">
        <f>IF(ISBLANK(card_database!$S$63),-1,card_database!$S$63)</f>
        <v>-1</v>
      </c>
      <c r="T63">
        <f>IF(ISBLANK(card_database!$T$63),-1,MATCH(card_database!$T$63,効果, 0) - 1)</f>
        <v>-1</v>
      </c>
      <c r="U63">
        <f>IF(ISBLANK(card_database!$U$63),-1,card_database!$U$63)</f>
        <v>-1</v>
      </c>
      <c r="V63">
        <f>IF(ISBLANK(card_database!$V$63),-1,card_database!$V$63)</f>
        <v>-1</v>
      </c>
      <c r="W63">
        <f>IF(ISBLANK(card_database!$W$63),-1,MATCH(card_database!$W$63,条件, 0) - 1)</f>
        <v>-1</v>
      </c>
      <c r="X63">
        <f>IF(ISBLANK(card_database!$X$63),-1,card_database!$X$63)</f>
        <v>-1</v>
      </c>
      <c r="Y63">
        <f>IF(ISBLANK(card_database!$Y$63),-1,card_database!$Y$63)</f>
        <v>-1</v>
      </c>
      <c r="Z63">
        <f>IF(ISBLANK(card_database!$Z$63),-1,MATCH(card_database!$Z$63,効果, 0) - 1)</f>
        <v>-1</v>
      </c>
      <c r="AA63">
        <f>IF(ISBLANK(card_database!$AA$63),-1,card_database!$AA$63)</f>
        <v>-1</v>
      </c>
      <c r="AB63">
        <f>IF(ISBLANK(card_database!$AB$63),-1,card_database!$AB$63)</f>
        <v>-1</v>
      </c>
      <c r="AC63">
        <f>IF(ISBLANK(card_database!$AC$63),-1,MATCH(card_database!$AC$63,条件, 0) - 1)</f>
        <v>-1</v>
      </c>
      <c r="AD63">
        <f>IF(ISBLANK(card_database!$AD$63),-1,card_database!$AD$63)</f>
        <v>-1</v>
      </c>
      <c r="AE63">
        <f>IF(ISBLANK(card_database!$AE$63),-1,card_database!$AE$63)</f>
        <v>-1</v>
      </c>
      <c r="AF63">
        <f>IF(ISBLANK(card_database!$AF$63),-1,MATCH(card_database!$AF$63,効果, 0) - 1)</f>
        <v>-1</v>
      </c>
      <c r="AG63">
        <f>IF(ISBLANK(card_database!$AG$63),-1,card_database!$AG$63)</f>
        <v>-1</v>
      </c>
      <c r="AH63">
        <f>IF(ISBLANK(card_database!$AH$63),-1,card_database!$AH$63)</f>
        <v>-1</v>
      </c>
      <c r="AI63">
        <f>IF(ISBLANK(card_database!$AI$63),-1,MATCH(card_database!$AI$63,条件, 0) - 1)</f>
        <v>-1</v>
      </c>
      <c r="AJ63">
        <f>IF(ISBLANK(card_database!$AJ$63),-1,card_database!$AJ$63)</f>
        <v>-1</v>
      </c>
      <c r="AK63">
        <f>IF(ISBLANK(card_database!$AK$63),-1,card_database!$AK$63)</f>
        <v>-1</v>
      </c>
      <c r="AL63">
        <f>IF(ISBLANK(card_database!$AL$63),-1,MATCH(card_database!$AL$63,わざ, 0) - 1)</f>
        <v>-1</v>
      </c>
      <c r="AM63">
        <f>IF(ISBLANK(card_database!$AM$63),-1,card_database!$AM$63)</f>
        <v>-1</v>
      </c>
      <c r="AN63">
        <f>IF(ISBLANK(card_database!$AN$63),-1,card_database!$AN$63)</f>
        <v>-1</v>
      </c>
      <c r="AO63">
        <f>IF(ISBLANK(card_database!$AO$63),-1,MATCH(card_database!$AO$63,条件, 0) - 1)</f>
        <v>-1</v>
      </c>
      <c r="AP63">
        <f>IF(ISBLANK(card_database!$AP$63),-1,card_database!$AP$63)</f>
        <v>-1</v>
      </c>
      <c r="AQ63">
        <f>IF(ISBLANK(card_database!$AQ$63),-1,card_database!$AQ$63)</f>
        <v>-1</v>
      </c>
      <c r="AR63">
        <f>IF(ISBLANK(card_database!$AR$63),-1,MATCH(card_database!$AR$63,わざ, 0) - 1)</f>
        <v>-1</v>
      </c>
      <c r="AS63">
        <f>IF(ISBLANK(card_database!$AS$63),-1,card_database!$AS$63)</f>
        <v>-1</v>
      </c>
      <c r="AT63">
        <f>IF(ISBLANK(card_database!$AT$63),-1,card_database!$AT$63)</f>
        <v>-1</v>
      </c>
      <c r="AU63">
        <f>IF(ISBLANK(card_database!$AU$63),-1,MATCH(card_database!$AU$63,条件, 0) - 1)</f>
        <v>-1</v>
      </c>
      <c r="AV63">
        <f>IF(ISBLANK(card_database!$AV$63),-1,card_database!$AV$63)</f>
        <v>-1</v>
      </c>
      <c r="AW63">
        <f>IF(ISBLANK(card_database!$AW$63),-1,card_database!$AW$63)</f>
        <v>-1</v>
      </c>
      <c r="AX63">
        <f>IF(ISBLANK(card_database!$AX$63),-1,MATCH(card_database!$AX$63,わざ, 0) - 1)</f>
        <v>-1</v>
      </c>
      <c r="AY63">
        <f>IF(ISBLANK(card_database!$AY$63),-1,card_database!$AY$63)</f>
        <v>-1</v>
      </c>
      <c r="AZ63">
        <f>IF(ISBLANK(card_database!$AZ$63),-1,card_database!$AZ$63)</f>
        <v>-1</v>
      </c>
      <c r="BA63">
        <f>IF(ISBLANK(card_database!$BA$63),-1,MATCH(card_database!$BA$63,条件, 0) - 1)</f>
        <v>-1</v>
      </c>
      <c r="BB63">
        <f>IF(ISBLANK(card_database!$BB$63),-1,card_database!$BB$63)</f>
        <v>-1</v>
      </c>
      <c r="BC63">
        <f>IF(ISBLANK(card_database!$BC$63),-1,card_database!$BC$63)</f>
        <v>-1</v>
      </c>
      <c r="BD63">
        <f>IF(ISBLANK(card_database!$BD$63),-1,MATCH(card_database!$BD$63,わざ, 0) - 1)</f>
        <v>-1</v>
      </c>
      <c r="BE63">
        <f>IF(ISBLANK(card_database!$BE$63),-1,card_database!$BE$63)</f>
        <v>-1</v>
      </c>
      <c r="BF63">
        <f>IF(ISBLANK(card_database!$BF$63),-1,card_database!$BF$63)</f>
        <v>-1</v>
      </c>
      <c r="BG63">
        <f>IF(ISBLANK(card_database!$BG$63),-1,card_database!$BG$63)</f>
        <v>-1</v>
      </c>
      <c r="BH63">
        <f>IF(ISBLANK(card_database!$BB$63),-1,card_database!$BB$63)</f>
        <v>-1</v>
      </c>
      <c r="BI63">
        <f>IF(ISBLANK(card_database!$BC$63),-1,card_database!$BC$63)</f>
        <v>-1</v>
      </c>
      <c r="BJ63">
        <f>IF(ISBLANK(card_database!$BD$63),-1,MATCH(card_database!$BD$63,わざ, 0) - 1)</f>
        <v>-1</v>
      </c>
    </row>
    <row r="64" spans="1:62" x14ac:dyDescent="0.55000000000000004">
      <c r="A64">
        <f>IF(ISBLANK(card_database!$A$64),-1,card_database!$A$64)</f>
        <v>58</v>
      </c>
      <c r="B64" t="str">
        <f>IF(ISBLANK(card_database!$B$64),-1,card_database!$B$64)</f>
        <v>はさみ撃ち</v>
      </c>
      <c r="C64" t="str">
        <f>IF(ISBLANK(card_database!$C$64),-1,card_database!$C$64)</f>
        <v>自分フィールド上に存在するモンスター２体と相手フィールド上に存在するモンスター１体を選択して破壊する。</v>
      </c>
      <c r="D64">
        <f>IF(ISBLANK(card_database!$D$64),-1,card_database!$D$64)</f>
        <v>58</v>
      </c>
      <c r="E64">
        <f>IF(ISBLANK(card_database!$E$64),-1,MATCH(card_database!$E$64,タイプ, 0) - 1)</f>
        <v>-1</v>
      </c>
      <c r="F64">
        <f>IF(ISBLANK(card_database!$F$64),-1,MATCH(card_database!$F$64,タイプ詳細, 0) - 1)</f>
        <v>-1</v>
      </c>
      <c r="G64">
        <f>IF(ISBLANK(card_database!$G$64),-1,card_database!$G$64)</f>
        <v>-1</v>
      </c>
      <c r="H64">
        <f>IF(ISBLANK(card_database!$H$64),-1,card_database!$H$64)</f>
        <v>-1</v>
      </c>
      <c r="I64">
        <f>IF(ISBLANK(card_database!$I$64),-1,MATCH(card_database!$I$64,属性, 0) - 1)</f>
        <v>-1</v>
      </c>
      <c r="J64">
        <f>IF(ISBLANK(card_database!$J$64),-1,MATCH(card_database!$J$64,種族, 0) - 1)</f>
        <v>-1</v>
      </c>
      <c r="K64">
        <f>IF(ISBLANK(card_database!$K$64),-1,card_database!$K$64)</f>
        <v>-1</v>
      </c>
      <c r="L64">
        <f>IF(ISBLANK(card_database!$L$64),-1,card_database!$L$64)</f>
        <v>-1</v>
      </c>
      <c r="M64">
        <f>IF(ISBLANK(card_database!$M$64),-1,card_database!$M$64)</f>
        <v>-1</v>
      </c>
      <c r="N64">
        <f>IF(ISBLANK(card_database!$N$64),-1,card_database!$N$64)</f>
        <v>-1</v>
      </c>
      <c r="O64">
        <f>IF(ISBLANK(card_database!$O$64),-1,card_database!$O$64)</f>
        <v>-1</v>
      </c>
      <c r="P64">
        <f>IF(ISBLANK(card_database!$P$64),-1,MATCH(card_database!$P$64,条件, 0) - 1)</f>
        <v>-1</v>
      </c>
      <c r="Q64">
        <f>IF(ISBLANK(card_database!$Q$64),-1,MATCH(card_database!$Q$64,条件, 0) - 1)</f>
        <v>-1</v>
      </c>
      <c r="R64">
        <f>IF(ISBLANK(card_database!$R$64),-1,card_database!$R$64)</f>
        <v>-1</v>
      </c>
      <c r="S64">
        <f>IF(ISBLANK(card_database!$S$64),-1,card_database!$S$64)</f>
        <v>-1</v>
      </c>
      <c r="T64">
        <f>IF(ISBLANK(card_database!$T$64),-1,MATCH(card_database!$T$64,効果, 0) - 1)</f>
        <v>-1</v>
      </c>
      <c r="U64">
        <f>IF(ISBLANK(card_database!$U$64),-1,card_database!$U$64)</f>
        <v>-1</v>
      </c>
      <c r="V64">
        <f>IF(ISBLANK(card_database!$V$64),-1,card_database!$V$64)</f>
        <v>-1</v>
      </c>
      <c r="W64">
        <f>IF(ISBLANK(card_database!$W$64),-1,MATCH(card_database!$W$64,条件, 0) - 1)</f>
        <v>-1</v>
      </c>
      <c r="X64">
        <f>IF(ISBLANK(card_database!$X$64),-1,card_database!$X$64)</f>
        <v>-1</v>
      </c>
      <c r="Y64">
        <f>IF(ISBLANK(card_database!$Y$64),-1,card_database!$Y$64)</f>
        <v>-1</v>
      </c>
      <c r="Z64">
        <f>IF(ISBLANK(card_database!$Z$64),-1,MATCH(card_database!$Z$64,効果, 0) - 1)</f>
        <v>-1</v>
      </c>
      <c r="AA64">
        <f>IF(ISBLANK(card_database!$AA$64),-1,card_database!$AA$64)</f>
        <v>-1</v>
      </c>
      <c r="AB64">
        <f>IF(ISBLANK(card_database!$AB$64),-1,card_database!$AB$64)</f>
        <v>-1</v>
      </c>
      <c r="AC64">
        <f>IF(ISBLANK(card_database!$AC$64),-1,MATCH(card_database!$AC$64,条件, 0) - 1)</f>
        <v>-1</v>
      </c>
      <c r="AD64">
        <f>IF(ISBLANK(card_database!$AD$64),-1,card_database!$AD$64)</f>
        <v>-1</v>
      </c>
      <c r="AE64">
        <f>IF(ISBLANK(card_database!$AE$64),-1,card_database!$AE$64)</f>
        <v>-1</v>
      </c>
      <c r="AF64">
        <f>IF(ISBLANK(card_database!$AF$64),-1,MATCH(card_database!$AF$64,効果, 0) - 1)</f>
        <v>-1</v>
      </c>
      <c r="AG64">
        <f>IF(ISBLANK(card_database!$AG$64),-1,card_database!$AG$64)</f>
        <v>-1</v>
      </c>
      <c r="AH64">
        <f>IF(ISBLANK(card_database!$AH$64),-1,card_database!$AH$64)</f>
        <v>-1</v>
      </c>
      <c r="AI64">
        <f>IF(ISBLANK(card_database!$AI$64),-1,MATCH(card_database!$AI$64,条件, 0) - 1)</f>
        <v>-1</v>
      </c>
      <c r="AJ64">
        <f>IF(ISBLANK(card_database!$AJ$64),-1,card_database!$AJ$64)</f>
        <v>-1</v>
      </c>
      <c r="AK64">
        <f>IF(ISBLANK(card_database!$AK$64),-1,card_database!$AK$64)</f>
        <v>-1</v>
      </c>
      <c r="AL64">
        <f>IF(ISBLANK(card_database!$AL$64),-1,MATCH(card_database!$AL$64,わざ, 0) - 1)</f>
        <v>-1</v>
      </c>
      <c r="AM64">
        <f>IF(ISBLANK(card_database!$AM$64),-1,card_database!$AM$64)</f>
        <v>-1</v>
      </c>
      <c r="AN64">
        <f>IF(ISBLANK(card_database!$AN$64),-1,card_database!$AN$64)</f>
        <v>-1</v>
      </c>
      <c r="AO64">
        <f>IF(ISBLANK(card_database!$AO$64),-1,MATCH(card_database!$AO$64,条件, 0) - 1)</f>
        <v>-1</v>
      </c>
      <c r="AP64">
        <f>IF(ISBLANK(card_database!$AP$64),-1,card_database!$AP$64)</f>
        <v>-1</v>
      </c>
      <c r="AQ64">
        <f>IF(ISBLANK(card_database!$AQ$64),-1,card_database!$AQ$64)</f>
        <v>-1</v>
      </c>
      <c r="AR64">
        <f>IF(ISBLANK(card_database!$AR$64),-1,MATCH(card_database!$AR$64,わざ, 0) - 1)</f>
        <v>-1</v>
      </c>
      <c r="AS64">
        <f>IF(ISBLANK(card_database!$AS$64),-1,card_database!$AS$64)</f>
        <v>-1</v>
      </c>
      <c r="AT64">
        <f>IF(ISBLANK(card_database!$AT$64),-1,card_database!$AT$64)</f>
        <v>-1</v>
      </c>
      <c r="AU64">
        <f>IF(ISBLANK(card_database!$AU$64),-1,MATCH(card_database!$AU$64,条件, 0) - 1)</f>
        <v>-1</v>
      </c>
      <c r="AV64">
        <f>IF(ISBLANK(card_database!$AV$64),-1,card_database!$AV$64)</f>
        <v>-1</v>
      </c>
      <c r="AW64">
        <f>IF(ISBLANK(card_database!$AW$64),-1,card_database!$AW$64)</f>
        <v>-1</v>
      </c>
      <c r="AX64">
        <f>IF(ISBLANK(card_database!$AX$64),-1,MATCH(card_database!$AX$64,わざ, 0) - 1)</f>
        <v>-1</v>
      </c>
      <c r="AY64">
        <f>IF(ISBLANK(card_database!$AY$64),-1,card_database!$AY$64)</f>
        <v>-1</v>
      </c>
      <c r="AZ64">
        <f>IF(ISBLANK(card_database!$AZ$64),-1,card_database!$AZ$64)</f>
        <v>-1</v>
      </c>
      <c r="BA64">
        <f>IF(ISBLANK(card_database!$BA$64),-1,MATCH(card_database!$BA$64,条件, 0) - 1)</f>
        <v>-1</v>
      </c>
      <c r="BB64">
        <f>IF(ISBLANK(card_database!$BB$64),-1,card_database!$BB$64)</f>
        <v>-1</v>
      </c>
      <c r="BC64">
        <f>IF(ISBLANK(card_database!$BC$64),-1,card_database!$BC$64)</f>
        <v>-1</v>
      </c>
      <c r="BD64">
        <f>IF(ISBLANK(card_database!$BD$64),-1,MATCH(card_database!$BD$64,わざ, 0) - 1)</f>
        <v>-1</v>
      </c>
      <c r="BE64">
        <f>IF(ISBLANK(card_database!$BE$64),-1,card_database!$BE$64)</f>
        <v>-1</v>
      </c>
      <c r="BF64">
        <f>IF(ISBLANK(card_database!$BF$64),-1,card_database!$BF$64)</f>
        <v>-1</v>
      </c>
      <c r="BG64">
        <f>IF(ISBLANK(card_database!$BG$64),-1,card_database!$BG$64)</f>
        <v>-1</v>
      </c>
      <c r="BH64">
        <f>IF(ISBLANK(card_database!$BB$64),-1,card_database!$BB$64)</f>
        <v>-1</v>
      </c>
      <c r="BI64">
        <f>IF(ISBLANK(card_database!$BC$64),-1,card_database!$BC$64)</f>
        <v>-1</v>
      </c>
      <c r="BJ64">
        <f>IF(ISBLANK(card_database!$BD$64),-1,MATCH(card_database!$BD$64,わざ, 0) - 1)</f>
        <v>-1</v>
      </c>
    </row>
    <row r="65" spans="1:62" x14ac:dyDescent="0.55000000000000004">
      <c r="A65">
        <f>IF(ISBLANK(card_database!$A$65),-1,card_database!$A$65)</f>
        <v>59</v>
      </c>
      <c r="B65" t="str">
        <f>IF(ISBLANK(card_database!$B$65),-1,card_database!$B$65)</f>
        <v>エルフの剣士</v>
      </c>
      <c r="C65" t="str">
        <f>IF(ISBLANK(card_database!$C$65),-1,card_database!$C$65)</f>
        <v>剣術を学んだエルフ。素早い攻撃で敵を翻弄する。</v>
      </c>
      <c r="D65">
        <f>IF(ISBLANK(card_database!$D$65),-1,card_database!$D$65)</f>
        <v>59</v>
      </c>
      <c r="E65">
        <f>IF(ISBLANK(card_database!$E$65),-1,MATCH(card_database!$E$65,タイプ, 0) - 1)</f>
        <v>-1</v>
      </c>
      <c r="F65">
        <f>IF(ISBLANK(card_database!$F$65),-1,MATCH(card_database!$F$65,タイプ詳細, 0) - 1)</f>
        <v>-1</v>
      </c>
      <c r="G65">
        <f>IF(ISBLANK(card_database!$G$65),-1,card_database!$G$65)</f>
        <v>-1</v>
      </c>
      <c r="H65">
        <f>IF(ISBLANK(card_database!$H$65),-1,card_database!$H$65)</f>
        <v>-1</v>
      </c>
      <c r="I65">
        <f>IF(ISBLANK(card_database!$I$65),-1,MATCH(card_database!$I$65,属性, 0) - 1)</f>
        <v>-1</v>
      </c>
      <c r="J65">
        <f>IF(ISBLANK(card_database!$J$65),-1,MATCH(card_database!$J$65,種族, 0) - 1)</f>
        <v>-1</v>
      </c>
      <c r="K65">
        <f>IF(ISBLANK(card_database!$K$65),-1,card_database!$K$65)</f>
        <v>-1</v>
      </c>
      <c r="L65">
        <f>IF(ISBLANK(card_database!$L$65),-1,card_database!$L$65)</f>
        <v>-1</v>
      </c>
      <c r="M65">
        <f>IF(ISBLANK(card_database!$M$65),-1,card_database!$M$65)</f>
        <v>-1</v>
      </c>
      <c r="N65">
        <f>IF(ISBLANK(card_database!$N$65),-1,card_database!$N$65)</f>
        <v>-1</v>
      </c>
      <c r="O65">
        <f>IF(ISBLANK(card_database!$O$65),-1,card_database!$O$65)</f>
        <v>-1</v>
      </c>
      <c r="P65">
        <f>IF(ISBLANK(card_database!$P$65),-1,MATCH(card_database!$P$65,条件, 0) - 1)</f>
        <v>-1</v>
      </c>
      <c r="Q65">
        <f>IF(ISBLANK(card_database!$Q$65),-1,MATCH(card_database!$Q$65,条件, 0) - 1)</f>
        <v>-1</v>
      </c>
      <c r="R65">
        <f>IF(ISBLANK(card_database!$R$65),-1,card_database!$R$65)</f>
        <v>-1</v>
      </c>
      <c r="S65">
        <f>IF(ISBLANK(card_database!$S$65),-1,card_database!$S$65)</f>
        <v>-1</v>
      </c>
      <c r="T65">
        <f>IF(ISBLANK(card_database!$T$65),-1,MATCH(card_database!$T$65,効果, 0) - 1)</f>
        <v>-1</v>
      </c>
      <c r="U65">
        <f>IF(ISBLANK(card_database!$U$65),-1,card_database!$U$65)</f>
        <v>-1</v>
      </c>
      <c r="V65">
        <f>IF(ISBLANK(card_database!$V$65),-1,card_database!$V$65)</f>
        <v>-1</v>
      </c>
      <c r="W65">
        <f>IF(ISBLANK(card_database!$W$65),-1,MATCH(card_database!$W$65,条件, 0) - 1)</f>
        <v>-1</v>
      </c>
      <c r="X65">
        <f>IF(ISBLANK(card_database!$X$65),-1,card_database!$X$65)</f>
        <v>-1</v>
      </c>
      <c r="Y65">
        <f>IF(ISBLANK(card_database!$Y$65),-1,card_database!$Y$65)</f>
        <v>-1</v>
      </c>
      <c r="Z65">
        <f>IF(ISBLANK(card_database!$Z$65),-1,MATCH(card_database!$Z$65,効果, 0) - 1)</f>
        <v>-1</v>
      </c>
      <c r="AA65">
        <f>IF(ISBLANK(card_database!$AA$65),-1,card_database!$AA$65)</f>
        <v>-1</v>
      </c>
      <c r="AB65">
        <f>IF(ISBLANK(card_database!$AB$65),-1,card_database!$AB$65)</f>
        <v>-1</v>
      </c>
      <c r="AC65">
        <f>IF(ISBLANK(card_database!$AC$65),-1,MATCH(card_database!$AC$65,条件, 0) - 1)</f>
        <v>-1</v>
      </c>
      <c r="AD65">
        <f>IF(ISBLANK(card_database!$AD$65),-1,card_database!$AD$65)</f>
        <v>-1</v>
      </c>
      <c r="AE65">
        <f>IF(ISBLANK(card_database!$AE$65),-1,card_database!$AE$65)</f>
        <v>-1</v>
      </c>
      <c r="AF65">
        <f>IF(ISBLANK(card_database!$AF$65),-1,MATCH(card_database!$AF$65,効果, 0) - 1)</f>
        <v>-1</v>
      </c>
      <c r="AG65">
        <f>IF(ISBLANK(card_database!$AG$65),-1,card_database!$AG$65)</f>
        <v>-1</v>
      </c>
      <c r="AH65">
        <f>IF(ISBLANK(card_database!$AH$65),-1,card_database!$AH$65)</f>
        <v>-1</v>
      </c>
      <c r="AI65">
        <f>IF(ISBLANK(card_database!$AI$65),-1,MATCH(card_database!$AI$65,条件, 0) - 1)</f>
        <v>-1</v>
      </c>
      <c r="AJ65">
        <f>IF(ISBLANK(card_database!$AJ$65),-1,card_database!$AJ$65)</f>
        <v>-1</v>
      </c>
      <c r="AK65">
        <f>IF(ISBLANK(card_database!$AK$65),-1,card_database!$AK$65)</f>
        <v>-1</v>
      </c>
      <c r="AL65">
        <f>IF(ISBLANK(card_database!$AL$65),-1,MATCH(card_database!$AL$65,わざ, 0) - 1)</f>
        <v>-1</v>
      </c>
      <c r="AM65">
        <f>IF(ISBLANK(card_database!$AM$65),-1,card_database!$AM$65)</f>
        <v>-1</v>
      </c>
      <c r="AN65">
        <f>IF(ISBLANK(card_database!$AN$65),-1,card_database!$AN$65)</f>
        <v>-1</v>
      </c>
      <c r="AO65">
        <f>IF(ISBLANK(card_database!$AO$65),-1,MATCH(card_database!$AO$65,条件, 0) - 1)</f>
        <v>-1</v>
      </c>
      <c r="AP65">
        <f>IF(ISBLANK(card_database!$AP$65),-1,card_database!$AP$65)</f>
        <v>-1</v>
      </c>
      <c r="AQ65">
        <f>IF(ISBLANK(card_database!$AQ$65),-1,card_database!$AQ$65)</f>
        <v>-1</v>
      </c>
      <c r="AR65">
        <f>IF(ISBLANK(card_database!$AR$65),-1,MATCH(card_database!$AR$65,わざ, 0) - 1)</f>
        <v>-1</v>
      </c>
      <c r="AS65">
        <f>IF(ISBLANK(card_database!$AS$65),-1,card_database!$AS$65)</f>
        <v>-1</v>
      </c>
      <c r="AT65">
        <f>IF(ISBLANK(card_database!$AT$65),-1,card_database!$AT$65)</f>
        <v>-1</v>
      </c>
      <c r="AU65">
        <f>IF(ISBLANK(card_database!$AU$65),-1,MATCH(card_database!$AU$65,条件, 0) - 1)</f>
        <v>-1</v>
      </c>
      <c r="AV65">
        <f>IF(ISBLANK(card_database!$AV$65),-1,card_database!$AV$65)</f>
        <v>-1</v>
      </c>
      <c r="AW65">
        <f>IF(ISBLANK(card_database!$AW$65),-1,card_database!$AW$65)</f>
        <v>-1</v>
      </c>
      <c r="AX65">
        <f>IF(ISBLANK(card_database!$AX$65),-1,MATCH(card_database!$AX$65,わざ, 0) - 1)</f>
        <v>-1</v>
      </c>
      <c r="AY65">
        <f>IF(ISBLANK(card_database!$AY$65),-1,card_database!$AY$65)</f>
        <v>-1</v>
      </c>
      <c r="AZ65">
        <f>IF(ISBLANK(card_database!$AZ$65),-1,card_database!$AZ$65)</f>
        <v>-1</v>
      </c>
      <c r="BA65">
        <f>IF(ISBLANK(card_database!$BA$65),-1,MATCH(card_database!$BA$65,条件, 0) - 1)</f>
        <v>-1</v>
      </c>
      <c r="BB65">
        <f>IF(ISBLANK(card_database!$BB$65),-1,card_database!$BB$65)</f>
        <v>-1</v>
      </c>
      <c r="BC65">
        <f>IF(ISBLANK(card_database!$BC$65),-1,card_database!$BC$65)</f>
        <v>-1</v>
      </c>
      <c r="BD65">
        <f>IF(ISBLANK(card_database!$BD$65),-1,MATCH(card_database!$BD$65,わざ, 0) - 1)</f>
        <v>-1</v>
      </c>
      <c r="BE65">
        <f>IF(ISBLANK(card_database!$BE$65),-1,card_database!$BE$65)</f>
        <v>-1</v>
      </c>
      <c r="BF65">
        <f>IF(ISBLANK(card_database!$BF$65),-1,card_database!$BF$65)</f>
        <v>-1</v>
      </c>
      <c r="BG65">
        <f>IF(ISBLANK(card_database!$BG$65),-1,card_database!$BG$65)</f>
        <v>-1</v>
      </c>
      <c r="BH65">
        <f>IF(ISBLANK(card_database!$BB$65),-1,card_database!$BB$65)</f>
        <v>-1</v>
      </c>
      <c r="BI65">
        <f>IF(ISBLANK(card_database!$BC$65),-1,card_database!$BC$65)</f>
        <v>-1</v>
      </c>
      <c r="BJ65">
        <f>IF(ISBLANK(card_database!$BD$65),-1,MATCH(card_database!$BD$65,わざ, 0) - 1)</f>
        <v>-1</v>
      </c>
    </row>
  </sheetData>
  <mergeCells count="14">
    <mergeCell ref="BE3:BG3"/>
    <mergeCell ref="BH3:BJ3"/>
    <mergeCell ref="BB3:BD3"/>
    <mergeCell ref="W3:Y3"/>
    <mergeCell ref="Z3:AB3"/>
    <mergeCell ref="AC3:AG3"/>
    <mergeCell ref="AH3:AL3"/>
    <mergeCell ref="AM3:AO3"/>
    <mergeCell ref="AP3:AR3"/>
    <mergeCell ref="Q3:S3"/>
    <mergeCell ref="T3:V3"/>
    <mergeCell ref="AS3:AU3"/>
    <mergeCell ref="AV3:AX3"/>
    <mergeCell ref="AY3:BA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2"/>
  <dimension ref="A1:M32"/>
  <sheetViews>
    <sheetView topLeftCell="C1" zoomScale="160" zoomScaleNormal="160" workbookViewId="0">
      <selection activeCell="H4" sqref="H4"/>
    </sheetView>
  </sheetViews>
  <sheetFormatPr defaultRowHeight="18" x14ac:dyDescent="0.55000000000000004"/>
  <cols>
    <col min="1" max="1" width="16.25" bestFit="1" customWidth="1"/>
    <col min="2" max="3" width="18.1640625" bestFit="1" customWidth="1"/>
    <col min="4" max="4" width="16.25" bestFit="1" customWidth="1"/>
    <col min="5" max="5" width="26" bestFit="1" customWidth="1"/>
    <col min="6" max="6" width="38.83203125" bestFit="1" customWidth="1"/>
    <col min="7" max="7" width="23" bestFit="1" customWidth="1"/>
    <col min="8" max="8" width="19.83203125" bestFit="1" customWidth="1"/>
    <col min="9" max="9" width="20.08203125" bestFit="1" customWidth="1"/>
    <col min="10" max="10" width="18.1640625" bestFit="1" customWidth="1"/>
    <col min="11" max="11" width="16.25" bestFit="1" customWidth="1"/>
    <col min="12" max="12" width="26" bestFit="1" customWidth="1"/>
    <col min="13" max="13" width="38.83203125" bestFit="1" customWidth="1"/>
  </cols>
  <sheetData>
    <row r="1" spans="1:13" x14ac:dyDescent="0.55000000000000004">
      <c r="A1" t="s">
        <v>82</v>
      </c>
      <c r="C1" t="s">
        <v>99</v>
      </c>
      <c r="E1" t="s">
        <v>100</v>
      </c>
      <c r="G1" t="s">
        <v>370</v>
      </c>
      <c r="H1" t="s">
        <v>371</v>
      </c>
      <c r="I1" t="s">
        <v>372</v>
      </c>
      <c r="J1" t="s">
        <v>96</v>
      </c>
      <c r="L1" t="s">
        <v>97</v>
      </c>
    </row>
    <row r="2" spans="1:13" s="4" customFormat="1" x14ac:dyDescent="0.55000000000000004">
      <c r="A2" s="4" t="s">
        <v>83</v>
      </c>
      <c r="C2" s="4" t="s">
        <v>103</v>
      </c>
      <c r="E2" s="4" t="s">
        <v>103</v>
      </c>
      <c r="G2" s="4" t="s">
        <v>369</v>
      </c>
      <c r="H2" s="4" t="s">
        <v>368</v>
      </c>
      <c r="I2" s="4" t="s">
        <v>367</v>
      </c>
      <c r="J2" s="4" t="s">
        <v>83</v>
      </c>
      <c r="L2" s="4" t="s">
        <v>83</v>
      </c>
    </row>
    <row r="3" spans="1:13" x14ac:dyDescent="0.55000000000000004">
      <c r="A3" t="s">
        <v>84</v>
      </c>
      <c r="B3" t="s">
        <v>94</v>
      </c>
      <c r="C3" t="s">
        <v>189</v>
      </c>
      <c r="D3" t="s">
        <v>19</v>
      </c>
      <c r="E3" t="s">
        <v>201</v>
      </c>
      <c r="F3" t="s">
        <v>221</v>
      </c>
      <c r="G3" t="s">
        <v>373</v>
      </c>
      <c r="H3" t="s">
        <v>185</v>
      </c>
      <c r="I3" t="s">
        <v>379</v>
      </c>
      <c r="J3" t="s">
        <v>104</v>
      </c>
      <c r="K3" t="s">
        <v>114</v>
      </c>
      <c r="L3" t="s">
        <v>121</v>
      </c>
      <c r="M3" t="s">
        <v>151</v>
      </c>
    </row>
    <row r="4" spans="1:13" x14ac:dyDescent="0.55000000000000004">
      <c r="A4" t="s">
        <v>85</v>
      </c>
      <c r="B4" t="s">
        <v>95</v>
      </c>
      <c r="C4" t="s">
        <v>190</v>
      </c>
      <c r="D4" t="s">
        <v>199</v>
      </c>
      <c r="E4" t="s">
        <v>202</v>
      </c>
      <c r="F4" t="s">
        <v>222</v>
      </c>
      <c r="G4" t="s">
        <v>374</v>
      </c>
      <c r="H4" t="s">
        <v>377</v>
      </c>
      <c r="J4" t="s">
        <v>105</v>
      </c>
      <c r="K4" t="s">
        <v>115</v>
      </c>
      <c r="L4" t="s">
        <v>122</v>
      </c>
      <c r="M4" t="s">
        <v>152</v>
      </c>
    </row>
    <row r="5" spans="1:13" x14ac:dyDescent="0.55000000000000004">
      <c r="A5" t="s">
        <v>86</v>
      </c>
      <c r="B5" t="s">
        <v>96</v>
      </c>
      <c r="C5" t="s">
        <v>191</v>
      </c>
      <c r="D5" t="s">
        <v>200</v>
      </c>
      <c r="E5" t="s">
        <v>203</v>
      </c>
      <c r="F5" t="s">
        <v>223</v>
      </c>
      <c r="G5" t="s">
        <v>375</v>
      </c>
      <c r="H5" t="s">
        <v>378</v>
      </c>
      <c r="J5" t="s">
        <v>106</v>
      </c>
      <c r="K5" t="s">
        <v>116</v>
      </c>
      <c r="L5" t="s">
        <v>123</v>
      </c>
      <c r="M5" t="s">
        <v>153</v>
      </c>
    </row>
    <row r="6" spans="1:13" x14ac:dyDescent="0.55000000000000004">
      <c r="A6" t="s">
        <v>87</v>
      </c>
      <c r="B6" t="s">
        <v>97</v>
      </c>
      <c r="C6" t="s">
        <v>192</v>
      </c>
      <c r="E6" t="s">
        <v>204</v>
      </c>
      <c r="F6" t="s">
        <v>224</v>
      </c>
      <c r="G6" t="s">
        <v>376</v>
      </c>
      <c r="H6" t="s">
        <v>387</v>
      </c>
      <c r="J6" t="s">
        <v>107</v>
      </c>
      <c r="K6" t="s">
        <v>117</v>
      </c>
      <c r="L6" t="s">
        <v>124</v>
      </c>
      <c r="M6" t="s">
        <v>154</v>
      </c>
    </row>
    <row r="7" spans="1:13" x14ac:dyDescent="0.55000000000000004">
      <c r="A7" t="s">
        <v>88</v>
      </c>
      <c r="B7" t="s">
        <v>98</v>
      </c>
      <c r="C7" t="s">
        <v>193</v>
      </c>
      <c r="E7" t="s">
        <v>205</v>
      </c>
      <c r="F7" t="s">
        <v>225</v>
      </c>
      <c r="G7" t="s">
        <v>385</v>
      </c>
      <c r="J7" t="s">
        <v>108</v>
      </c>
      <c r="K7" t="s">
        <v>118</v>
      </c>
      <c r="L7" t="s">
        <v>125</v>
      </c>
      <c r="M7" t="s">
        <v>155</v>
      </c>
    </row>
    <row r="8" spans="1:13" x14ac:dyDescent="0.55000000000000004">
      <c r="A8" t="s">
        <v>89</v>
      </c>
      <c r="C8" t="s">
        <v>194</v>
      </c>
      <c r="E8" t="s">
        <v>206</v>
      </c>
      <c r="F8" t="s">
        <v>226</v>
      </c>
      <c r="G8" t="s">
        <v>386</v>
      </c>
      <c r="J8" t="s">
        <v>109</v>
      </c>
      <c r="K8" t="s">
        <v>119</v>
      </c>
      <c r="L8" t="s">
        <v>126</v>
      </c>
      <c r="M8" t="s">
        <v>156</v>
      </c>
    </row>
    <row r="9" spans="1:13" x14ac:dyDescent="0.55000000000000004">
      <c r="A9" t="s">
        <v>90</v>
      </c>
      <c r="C9" t="s">
        <v>195</v>
      </c>
      <c r="E9" t="s">
        <v>207</v>
      </c>
      <c r="F9" t="s">
        <v>227</v>
      </c>
      <c r="J9" t="s">
        <v>110</v>
      </c>
      <c r="K9" t="s">
        <v>120</v>
      </c>
      <c r="L9" t="s">
        <v>127</v>
      </c>
      <c r="M9" t="s">
        <v>157</v>
      </c>
    </row>
    <row r="10" spans="1:13" x14ac:dyDescent="0.55000000000000004">
      <c r="A10" t="s">
        <v>91</v>
      </c>
      <c r="C10" t="s">
        <v>196</v>
      </c>
      <c r="E10" t="s">
        <v>208</v>
      </c>
      <c r="F10" t="s">
        <v>228</v>
      </c>
      <c r="J10" t="s">
        <v>111</v>
      </c>
      <c r="L10" t="s">
        <v>128</v>
      </c>
      <c r="M10" t="s">
        <v>158</v>
      </c>
    </row>
    <row r="11" spans="1:13" x14ac:dyDescent="0.55000000000000004">
      <c r="A11" t="s">
        <v>92</v>
      </c>
      <c r="C11" t="s">
        <v>197</v>
      </c>
      <c r="E11" t="s">
        <v>209</v>
      </c>
      <c r="F11" t="s">
        <v>229</v>
      </c>
      <c r="J11" t="s">
        <v>112</v>
      </c>
      <c r="L11" t="s">
        <v>129</v>
      </c>
      <c r="M11" t="s">
        <v>159</v>
      </c>
    </row>
    <row r="12" spans="1:13" x14ac:dyDescent="0.55000000000000004">
      <c r="A12" t="s">
        <v>93</v>
      </c>
      <c r="C12" t="s">
        <v>198</v>
      </c>
      <c r="E12" t="s">
        <v>210</v>
      </c>
      <c r="F12" t="s">
        <v>230</v>
      </c>
      <c r="J12" t="s">
        <v>113</v>
      </c>
      <c r="L12" t="s">
        <v>130</v>
      </c>
      <c r="M12" t="s">
        <v>160</v>
      </c>
    </row>
    <row r="13" spans="1:13" x14ac:dyDescent="0.55000000000000004">
      <c r="E13" t="s">
        <v>211</v>
      </c>
      <c r="F13" t="s">
        <v>231</v>
      </c>
      <c r="J13" t="s">
        <v>233</v>
      </c>
      <c r="L13" t="s">
        <v>131</v>
      </c>
      <c r="M13" t="s">
        <v>161</v>
      </c>
    </row>
    <row r="14" spans="1:13" x14ac:dyDescent="0.55000000000000004">
      <c r="E14" t="s">
        <v>212</v>
      </c>
      <c r="F14" t="s">
        <v>232</v>
      </c>
      <c r="J14" t="s">
        <v>234</v>
      </c>
      <c r="L14" t="s">
        <v>132</v>
      </c>
      <c r="M14" t="s">
        <v>162</v>
      </c>
    </row>
    <row r="15" spans="1:13" x14ac:dyDescent="0.55000000000000004">
      <c r="E15" t="s">
        <v>213</v>
      </c>
      <c r="J15" t="s">
        <v>235</v>
      </c>
      <c r="L15" t="s">
        <v>133</v>
      </c>
      <c r="M15" t="s">
        <v>163</v>
      </c>
    </row>
    <row r="16" spans="1:13" x14ac:dyDescent="0.55000000000000004">
      <c r="E16" t="s">
        <v>214</v>
      </c>
      <c r="J16" t="s">
        <v>236</v>
      </c>
      <c r="L16" t="s">
        <v>134</v>
      </c>
      <c r="M16" t="s">
        <v>164</v>
      </c>
    </row>
    <row r="17" spans="5:13" x14ac:dyDescent="0.55000000000000004">
      <c r="E17" t="s">
        <v>215</v>
      </c>
      <c r="J17" t="s">
        <v>237</v>
      </c>
      <c r="L17" t="s">
        <v>135</v>
      </c>
      <c r="M17" t="s">
        <v>165</v>
      </c>
    </row>
    <row r="18" spans="5:13" x14ac:dyDescent="0.55000000000000004">
      <c r="E18" t="s">
        <v>216</v>
      </c>
      <c r="J18" t="s">
        <v>238</v>
      </c>
      <c r="L18" t="s">
        <v>136</v>
      </c>
      <c r="M18" t="s">
        <v>166</v>
      </c>
    </row>
    <row r="19" spans="5:13" x14ac:dyDescent="0.55000000000000004">
      <c r="E19" t="s">
        <v>217</v>
      </c>
      <c r="J19" t="s">
        <v>239</v>
      </c>
      <c r="L19" t="s">
        <v>137</v>
      </c>
      <c r="M19" t="s">
        <v>167</v>
      </c>
    </row>
    <row r="20" spans="5:13" x14ac:dyDescent="0.55000000000000004">
      <c r="E20" t="s">
        <v>218</v>
      </c>
      <c r="J20" t="s">
        <v>240</v>
      </c>
      <c r="L20" t="s">
        <v>138</v>
      </c>
      <c r="M20" t="s">
        <v>168</v>
      </c>
    </row>
    <row r="21" spans="5:13" x14ac:dyDescent="0.55000000000000004">
      <c r="E21" t="s">
        <v>219</v>
      </c>
      <c r="J21" t="s">
        <v>241</v>
      </c>
      <c r="L21" t="s">
        <v>139</v>
      </c>
      <c r="M21" t="s">
        <v>169</v>
      </c>
    </row>
    <row r="22" spans="5:13" x14ac:dyDescent="0.55000000000000004">
      <c r="E22" t="s">
        <v>220</v>
      </c>
      <c r="J22" t="s">
        <v>242</v>
      </c>
      <c r="L22" t="s">
        <v>140</v>
      </c>
      <c r="M22" t="s">
        <v>170</v>
      </c>
    </row>
    <row r="23" spans="5:13" x14ac:dyDescent="0.55000000000000004">
      <c r="L23" t="s">
        <v>141</v>
      </c>
      <c r="M23" t="s">
        <v>171</v>
      </c>
    </row>
    <row r="24" spans="5:13" x14ac:dyDescent="0.55000000000000004">
      <c r="L24" t="s">
        <v>142</v>
      </c>
      <c r="M24" t="s">
        <v>172</v>
      </c>
    </row>
    <row r="25" spans="5:13" x14ac:dyDescent="0.55000000000000004">
      <c r="L25" t="s">
        <v>143</v>
      </c>
      <c r="M25" t="s">
        <v>173</v>
      </c>
    </row>
    <row r="26" spans="5:13" x14ac:dyDescent="0.55000000000000004">
      <c r="L26" t="s">
        <v>144</v>
      </c>
      <c r="M26" t="s">
        <v>174</v>
      </c>
    </row>
    <row r="27" spans="5:13" x14ac:dyDescent="0.55000000000000004">
      <c r="L27" t="s">
        <v>145</v>
      </c>
      <c r="M27" t="s">
        <v>175</v>
      </c>
    </row>
    <row r="28" spans="5:13" x14ac:dyDescent="0.55000000000000004">
      <c r="L28" t="s">
        <v>146</v>
      </c>
      <c r="M28" t="s">
        <v>176</v>
      </c>
    </row>
    <row r="29" spans="5:13" x14ac:dyDescent="0.55000000000000004">
      <c r="L29" t="s">
        <v>147</v>
      </c>
    </row>
    <row r="30" spans="5:13" x14ac:dyDescent="0.55000000000000004">
      <c r="L30" t="s">
        <v>148</v>
      </c>
    </row>
    <row r="31" spans="5:13" x14ac:dyDescent="0.55000000000000004">
      <c r="L31" t="s">
        <v>149</v>
      </c>
    </row>
    <row r="32" spans="5:13" x14ac:dyDescent="0.55000000000000004">
      <c r="L32" t="s">
        <v>150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card_database</vt:lpstr>
      <vt:lpstr>output</vt:lpstr>
      <vt:lpstr>ref</vt:lpstr>
      <vt:lpstr>タイプ</vt:lpstr>
      <vt:lpstr>タイプ詳細</vt:lpstr>
      <vt:lpstr>わざ</vt:lpstr>
      <vt:lpstr>効果</vt:lpstr>
      <vt:lpstr>種族</vt:lpstr>
      <vt:lpstr>条件</vt:lpstr>
      <vt:lpstr>属性</vt:lpstr>
      <vt:lpstr>汎用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2026-02-06T16:32:06Z</dcterms:modified>
</cp:coreProperties>
</file>