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sorerusushi\Desktop\Soreru\RebootCard\Excel\"/>
    </mc:Choice>
  </mc:AlternateContent>
  <xr:revisionPtr revIDLastSave="0" documentId="13_ncr:1_{742F044A-C188-49E6-B9A0-A64BB5236BBA}" xr6:coauthVersionLast="47" xr6:coauthVersionMax="47" xr10:uidLastSave="{00000000-0000-0000-0000-000000000000}"/>
  <bookViews>
    <workbookView xWindow="3420" yWindow="3420" windowWidth="28800" windowHeight="15370" xr2:uid="{E721D69E-C4DC-4E77-BD55-905F246DE791}"/>
  </bookViews>
  <sheets>
    <sheet name="card_database" sheetId="1" r:id="rId1"/>
    <sheet name="ref" sheetId="8" r:id="rId2"/>
  </sheets>
  <definedNames>
    <definedName name="タイプ">ref!$D$3:$D$12</definedName>
    <definedName name="タイプ詳細">ref!$F$3:$F$22</definedName>
    <definedName name="種族">ref!$J$3:$J$32</definedName>
    <definedName name="属性">ref!$H$3:$H$22</definedName>
    <definedName name="汎用">ref!$B$3:$B$12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10" i="1" l="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10" i="1"/>
  <c r="H11" i="1"/>
  <c r="Y4" i="1"/>
  <c r="W4" i="1"/>
  <c r="U4" i="1"/>
  <c r="S4" i="1"/>
  <c r="Q4" i="1"/>
  <c r="O4" i="1"/>
  <c r="M4" i="1"/>
  <c r="K4" i="1"/>
  <c r="I4" i="1"/>
  <c r="G4" i="1"/>
</calcChain>
</file>

<file path=xl/sharedStrings.xml><?xml version="1.0" encoding="utf-8"?>
<sst xmlns="http://schemas.openxmlformats.org/spreadsheetml/2006/main" count="262" uniqueCount="252">
  <si>
    <t>ID</t>
    <phoneticPr fontId="1"/>
  </si>
  <si>
    <t>id_</t>
    <phoneticPr fontId="1"/>
  </si>
  <si>
    <t>カードIDデータベース</t>
    <phoneticPr fontId="1"/>
  </si>
  <si>
    <t>カード名</t>
    <rPh sb="3" eb="4">
      <t>メイ</t>
    </rPh>
    <phoneticPr fontId="1"/>
  </si>
  <si>
    <t>name_</t>
    <phoneticPr fontId="1"/>
  </si>
  <si>
    <t>テキスト</t>
    <phoneticPr fontId="1"/>
  </si>
  <si>
    <t>text_</t>
    <phoneticPr fontId="1"/>
  </si>
  <si>
    <t>１ターンに１度、自分のメインフェイズ時にこのカードの攻撃力を４００ポイントアップできる。この効果を発動するターン、このカードは攻撃できない。</t>
    <phoneticPr fontId="1"/>
  </si>
  <si>
    <t>一つ目の巨人。太い腕で殴りかかってくる。要注意。</t>
    <phoneticPr fontId="1"/>
  </si>
  <si>
    <t>魔法使いとしては、攻撃力・守備力ともに最高クラス。</t>
    <phoneticPr fontId="1"/>
  </si>
  <si>
    <t>image_</t>
    <phoneticPr fontId="1"/>
  </si>
  <si>
    <t>画像No</t>
    <rPh sb="0" eb="2">
      <t>ガゾウ</t>
    </rPh>
    <phoneticPr fontId="1"/>
  </si>
  <si>
    <t>汎用1</t>
    <rPh sb="0" eb="2">
      <t>ハンヨウ</t>
    </rPh>
    <phoneticPr fontId="1"/>
  </si>
  <si>
    <t>汎用2</t>
    <rPh sb="0" eb="2">
      <t>ハンヨウ</t>
    </rPh>
    <phoneticPr fontId="1"/>
  </si>
  <si>
    <t>汎用3</t>
    <rPh sb="0" eb="2">
      <t>ハンヨウ</t>
    </rPh>
    <phoneticPr fontId="1"/>
  </si>
  <si>
    <t>汎用4</t>
    <rPh sb="0" eb="2">
      <t>ハンヨウ</t>
    </rPh>
    <phoneticPr fontId="1"/>
  </si>
  <si>
    <t>汎用5</t>
    <rPh sb="0" eb="2">
      <t>ハンヨウ</t>
    </rPh>
    <phoneticPr fontId="1"/>
  </si>
  <si>
    <t>汎用6</t>
    <rPh sb="0" eb="2">
      <t>ハンヨウ</t>
    </rPh>
    <phoneticPr fontId="1"/>
  </si>
  <si>
    <t>汎用7</t>
    <rPh sb="0" eb="2">
      <t>ハンヨウ</t>
    </rPh>
    <phoneticPr fontId="1"/>
  </si>
  <si>
    <t>汎用8</t>
    <rPh sb="0" eb="2">
      <t>ハンヨウ</t>
    </rPh>
    <phoneticPr fontId="1"/>
  </si>
  <si>
    <t>モンスター</t>
    <phoneticPr fontId="1"/>
  </si>
  <si>
    <t>ブラック・マジシャン</t>
    <phoneticPr fontId="1"/>
  </si>
  <si>
    <t>temp1_</t>
    <phoneticPr fontId="1"/>
  </si>
  <si>
    <t>temp2_</t>
    <phoneticPr fontId="1"/>
  </si>
  <si>
    <t>temp3_</t>
    <phoneticPr fontId="1"/>
  </si>
  <si>
    <t>temp4_</t>
    <phoneticPr fontId="1"/>
  </si>
  <si>
    <t>temp5_</t>
    <phoneticPr fontId="1"/>
  </si>
  <si>
    <t>temp6_</t>
    <phoneticPr fontId="1"/>
  </si>
  <si>
    <t>効果条件1</t>
    <rPh sb="0" eb="2">
      <t>コウカ</t>
    </rPh>
    <rPh sb="2" eb="4">
      <t>ジョウケン</t>
    </rPh>
    <phoneticPr fontId="1"/>
  </si>
  <si>
    <t>効果2</t>
    <rPh sb="0" eb="2">
      <t>コウカ</t>
    </rPh>
    <phoneticPr fontId="1"/>
  </si>
  <si>
    <t>効果条件2</t>
    <rPh sb="0" eb="2">
      <t>コウカ</t>
    </rPh>
    <rPh sb="2" eb="4">
      <t>ジョウケン</t>
    </rPh>
    <phoneticPr fontId="1"/>
  </si>
  <si>
    <t>効果1</t>
    <rPh sb="0" eb="2">
      <t>コウカ</t>
    </rPh>
    <phoneticPr fontId="1"/>
  </si>
  <si>
    <t>汎用9</t>
    <rPh sb="0" eb="2">
      <t>ハンヨウ</t>
    </rPh>
    <phoneticPr fontId="1"/>
  </si>
  <si>
    <t>汎用10</t>
    <rPh sb="0" eb="2">
      <t>ハンヨウ</t>
    </rPh>
    <phoneticPr fontId="1"/>
  </si>
  <si>
    <t>effect1_</t>
    <phoneticPr fontId="1"/>
  </si>
  <si>
    <t>effect1_arg1_</t>
    <phoneticPr fontId="1"/>
  </si>
  <si>
    <t>effect1_arg2_</t>
    <phoneticPr fontId="1"/>
  </si>
  <si>
    <t>effect2_</t>
    <phoneticPr fontId="1"/>
  </si>
  <si>
    <t>effect2_arg1_</t>
    <phoneticPr fontId="1"/>
  </si>
  <si>
    <t>effect2_arg2_</t>
    <phoneticPr fontId="1"/>
  </si>
  <si>
    <t>効果条件3</t>
    <rPh sb="0" eb="2">
      <t>コウカ</t>
    </rPh>
    <rPh sb="2" eb="4">
      <t>ジョウケン</t>
    </rPh>
    <phoneticPr fontId="1"/>
  </si>
  <si>
    <t>効果3</t>
    <rPh sb="0" eb="2">
      <t>コウカ</t>
    </rPh>
    <phoneticPr fontId="1"/>
  </si>
  <si>
    <t>effect3_</t>
    <phoneticPr fontId="1"/>
  </si>
  <si>
    <t>effect3_arg1_</t>
    <phoneticPr fontId="1"/>
  </si>
  <si>
    <t>effect3_arg2_</t>
    <phoneticPr fontId="1"/>
  </si>
  <si>
    <t>temp7_</t>
    <phoneticPr fontId="1"/>
  </si>
  <si>
    <t>temp8_</t>
    <phoneticPr fontId="1"/>
  </si>
  <si>
    <t>temp9_</t>
    <phoneticPr fontId="1"/>
  </si>
  <si>
    <t>temp10_</t>
    <phoneticPr fontId="1"/>
  </si>
  <si>
    <t>(青眼の白龍)[ブルーアイズホワイトドラゴン]</t>
    <phoneticPr fontId="1"/>
  </si>
  <si>
    <t>わざ条件1</t>
    <rPh sb="2" eb="4">
      <t>ジョウケン</t>
    </rPh>
    <phoneticPr fontId="1"/>
  </si>
  <si>
    <t>わざ1</t>
    <phoneticPr fontId="1"/>
  </si>
  <si>
    <t>わざ条件2</t>
    <rPh sb="2" eb="4">
      <t>ジョウケン</t>
    </rPh>
    <phoneticPr fontId="1"/>
  </si>
  <si>
    <t>わざ2</t>
    <phoneticPr fontId="1"/>
  </si>
  <si>
    <t>わざ条件3</t>
    <rPh sb="2" eb="4">
      <t>ジョウケン</t>
    </rPh>
    <phoneticPr fontId="1"/>
  </si>
  <si>
    <t>わざ3</t>
    <phoneticPr fontId="1"/>
  </si>
  <si>
    <t>effect1_cond_</t>
    <phoneticPr fontId="1"/>
  </si>
  <si>
    <t>effect1_cond_arg1_</t>
    <phoneticPr fontId="1"/>
  </si>
  <si>
    <t>effect1_cond_arg2_</t>
    <phoneticPr fontId="1"/>
  </si>
  <si>
    <t>effect2_cond_</t>
    <phoneticPr fontId="1"/>
  </si>
  <si>
    <t>effect2_cond_arg1_</t>
    <phoneticPr fontId="1"/>
  </si>
  <si>
    <t>effect2_cond_arg2_</t>
    <phoneticPr fontId="1"/>
  </si>
  <si>
    <t>effect3_cond_</t>
    <phoneticPr fontId="1"/>
  </si>
  <si>
    <t>effect3_cond_arg1_</t>
    <phoneticPr fontId="1"/>
  </si>
  <si>
    <t>effect3_cond_arg2_</t>
    <phoneticPr fontId="1"/>
  </si>
  <si>
    <t>ability1_cond_</t>
    <phoneticPr fontId="1"/>
  </si>
  <si>
    <t>ability1_cond_arg1_</t>
    <phoneticPr fontId="1"/>
  </si>
  <si>
    <t>ability1_cond_arg2_</t>
    <phoneticPr fontId="1"/>
  </si>
  <si>
    <t>ability1_</t>
    <phoneticPr fontId="1"/>
  </si>
  <si>
    <t>ability1_arg1_</t>
    <phoneticPr fontId="1"/>
  </si>
  <si>
    <t>ability1_arg2_</t>
    <phoneticPr fontId="1"/>
  </si>
  <si>
    <t>ability2_cond_</t>
    <phoneticPr fontId="1"/>
  </si>
  <si>
    <t>ability2_cond_arg1_</t>
    <phoneticPr fontId="1"/>
  </si>
  <si>
    <t>ability2_cond_arg2_</t>
    <phoneticPr fontId="1"/>
  </si>
  <si>
    <t>ability2_</t>
    <phoneticPr fontId="1"/>
  </si>
  <si>
    <t>ability2_arg1_</t>
    <phoneticPr fontId="1"/>
  </si>
  <si>
    <t>ability2_arg2_</t>
    <phoneticPr fontId="1"/>
  </si>
  <si>
    <t>ability3_cond_</t>
    <phoneticPr fontId="1"/>
  </si>
  <si>
    <t>ability3_cond_arg1_</t>
    <phoneticPr fontId="1"/>
  </si>
  <si>
    <t>ability3_cond_arg2_</t>
    <phoneticPr fontId="1"/>
  </si>
  <si>
    <t>ability3_</t>
    <phoneticPr fontId="1"/>
  </si>
  <si>
    <t>ability3_arg1_</t>
    <phoneticPr fontId="1"/>
  </si>
  <si>
    <t>ability3_arg2_</t>
    <phoneticPr fontId="1"/>
  </si>
  <si>
    <t>汎用</t>
    <rPh sb="0" eb="2">
      <t>ハンヨウ</t>
    </rPh>
    <phoneticPr fontId="1"/>
  </si>
  <si>
    <t>text_rule.xlsm</t>
    <phoneticPr fontId="1"/>
  </si>
  <si>
    <t>CARD_COMMON1</t>
    <phoneticPr fontId="1"/>
  </si>
  <si>
    <t>CARD_COMMON2</t>
    <phoneticPr fontId="1"/>
  </si>
  <si>
    <t>CARD_COMMON3</t>
  </si>
  <si>
    <t>CARD_COMMON4</t>
  </si>
  <si>
    <t>CARD_COMMON5</t>
  </si>
  <si>
    <t>CARD_COMMON6</t>
  </si>
  <si>
    <t>CARD_COMMON7</t>
  </si>
  <si>
    <t>CARD_COMMON8</t>
  </si>
  <si>
    <t>CARD_COMMON9</t>
  </si>
  <si>
    <t>CARD_COMMON10</t>
  </si>
  <si>
    <t>攻撃力</t>
    <rPh sb="0" eb="3">
      <t>コウゲキリョク</t>
    </rPh>
    <phoneticPr fontId="1"/>
  </si>
  <si>
    <t>守備力</t>
    <rPh sb="0" eb="3">
      <t>シュビリョク</t>
    </rPh>
    <phoneticPr fontId="1"/>
  </si>
  <si>
    <t>属性</t>
    <rPh sb="0" eb="2">
      <t>ゾクセイ</t>
    </rPh>
    <phoneticPr fontId="1"/>
  </si>
  <si>
    <t>種族</t>
    <rPh sb="0" eb="2">
      <t>シュゾク</t>
    </rPh>
    <phoneticPr fontId="1"/>
  </si>
  <si>
    <t>レベル</t>
    <phoneticPr fontId="1"/>
  </si>
  <si>
    <t>タイプ</t>
    <phoneticPr fontId="1"/>
  </si>
  <si>
    <t>タイプ詳細</t>
    <rPh sb="3" eb="5">
      <t>ショウサイ</t>
    </rPh>
    <phoneticPr fontId="1"/>
  </si>
  <si>
    <t>class_</t>
    <phoneticPr fontId="1"/>
  </si>
  <si>
    <t>detail_class_</t>
    <phoneticPr fontId="1"/>
  </si>
  <si>
    <t>text_rule.xlsm</t>
    <phoneticPr fontId="1"/>
  </si>
  <si>
    <t>CARD_TYPE1</t>
    <phoneticPr fontId="1"/>
  </si>
  <si>
    <t>CARD_TYPE2</t>
    <phoneticPr fontId="1"/>
  </si>
  <si>
    <t>CARD_TYPE3</t>
  </si>
  <si>
    <t>CARD_TYPE4</t>
  </si>
  <si>
    <t>CARD_TYPE5</t>
  </si>
  <si>
    <t>CARD_TYPE6</t>
  </si>
  <si>
    <t>CARD_TYPE7</t>
  </si>
  <si>
    <t>CARD_TYPE8</t>
  </si>
  <si>
    <t>CARD_TYPE9</t>
  </si>
  <si>
    <t>CARD_TYPE10</t>
  </si>
  <si>
    <t>闇属性</t>
    <rPh sb="0" eb="3">
      <t>ヤミゾクセイ</t>
    </rPh>
    <phoneticPr fontId="1"/>
  </si>
  <si>
    <t>光属性</t>
    <rPh sb="0" eb="3">
      <t>ヒカリゾクセイ</t>
    </rPh>
    <phoneticPr fontId="1"/>
  </si>
  <si>
    <t>地属性</t>
    <rPh sb="0" eb="1">
      <t>チ</t>
    </rPh>
    <rPh sb="1" eb="3">
      <t>ゾクセイ</t>
    </rPh>
    <phoneticPr fontId="1"/>
  </si>
  <si>
    <t>水属性</t>
    <rPh sb="0" eb="3">
      <t>ミズゾクセイ</t>
    </rPh>
    <phoneticPr fontId="1"/>
  </si>
  <si>
    <t>炎属性</t>
    <rPh sb="0" eb="1">
      <t>ホノオ</t>
    </rPh>
    <rPh sb="1" eb="3">
      <t>ゾクセイ</t>
    </rPh>
    <phoneticPr fontId="1"/>
  </si>
  <si>
    <t>風属性</t>
    <rPh sb="0" eb="1">
      <t>カゼ</t>
    </rPh>
    <rPh sb="1" eb="3">
      <t>ゾクセイ</t>
    </rPh>
    <phoneticPr fontId="1"/>
  </si>
  <si>
    <t>神属性</t>
    <rPh sb="0" eb="1">
      <t>カミ</t>
    </rPh>
    <rPh sb="1" eb="3">
      <t>ゾクセイ</t>
    </rPh>
    <phoneticPr fontId="1"/>
  </si>
  <si>
    <t>CARD_RACE1</t>
    <phoneticPr fontId="1"/>
  </si>
  <si>
    <t>CARD_RACE2</t>
    <phoneticPr fontId="1"/>
  </si>
  <si>
    <t>CARD_RACE3</t>
  </si>
  <si>
    <t>CARD_RACE4</t>
  </si>
  <si>
    <t>CARD_RACE5</t>
  </si>
  <si>
    <t>CARD_RACE6</t>
  </si>
  <si>
    <t>CARD_RACE7</t>
  </si>
  <si>
    <t>CARD_RACE8</t>
  </si>
  <si>
    <t>CARD_RACE9</t>
  </si>
  <si>
    <t>CARD_RACE10</t>
  </si>
  <si>
    <t>CARD_RACE11</t>
  </si>
  <si>
    <t>CARD_RACE12</t>
  </si>
  <si>
    <t>CARD_RACE13</t>
  </si>
  <si>
    <t>CARD_RACE14</t>
  </si>
  <si>
    <t>CARD_RACE15</t>
  </si>
  <si>
    <t>CARD_RACE16</t>
  </si>
  <si>
    <t>CARD_RACE17</t>
  </si>
  <si>
    <t>CARD_RACE18</t>
  </si>
  <si>
    <t>CARD_RACE19</t>
  </si>
  <si>
    <t>CARD_RACE20</t>
  </si>
  <si>
    <t>CARD_RACE21</t>
  </si>
  <si>
    <t>CARD_RACE22</t>
  </si>
  <si>
    <t>CARD_RACE23</t>
  </si>
  <si>
    <t>CARD_RACE24</t>
  </si>
  <si>
    <t>CARD_RACE25</t>
  </si>
  <si>
    <t>CARD_RACE26</t>
  </si>
  <si>
    <t>CARD_RACE27</t>
  </si>
  <si>
    <t>CARD_RACE28</t>
  </si>
  <si>
    <t>CARD_RACE29</t>
  </si>
  <si>
    <t>CARD_RACE30</t>
  </si>
  <si>
    <t>魔法使い族</t>
    <rPh sb="0" eb="3">
      <t>マホウツカ</t>
    </rPh>
    <rPh sb="4" eb="5">
      <t>ゾク</t>
    </rPh>
    <phoneticPr fontId="1"/>
  </si>
  <si>
    <t>ドラゴン族</t>
    <rPh sb="4" eb="5">
      <t>ゾク</t>
    </rPh>
    <phoneticPr fontId="1"/>
  </si>
  <si>
    <t>アンデット族</t>
    <rPh sb="5" eb="6">
      <t>ゾク</t>
    </rPh>
    <phoneticPr fontId="1"/>
  </si>
  <si>
    <t>戦士族</t>
    <rPh sb="0" eb="2">
      <t>センシ</t>
    </rPh>
    <rPh sb="2" eb="3">
      <t>ゾク</t>
    </rPh>
    <phoneticPr fontId="1"/>
  </si>
  <si>
    <t>獣戦士族</t>
    <rPh sb="0" eb="1">
      <t>ケモノ</t>
    </rPh>
    <rPh sb="1" eb="3">
      <t>センシ</t>
    </rPh>
    <rPh sb="3" eb="4">
      <t>ゾク</t>
    </rPh>
    <phoneticPr fontId="1"/>
  </si>
  <si>
    <t>獣族</t>
    <rPh sb="0" eb="1">
      <t>ケモノ</t>
    </rPh>
    <rPh sb="1" eb="2">
      <t>ゾク</t>
    </rPh>
    <phoneticPr fontId="1"/>
  </si>
  <si>
    <t>鳥獣族</t>
    <rPh sb="0" eb="1">
      <t>トリ</t>
    </rPh>
    <rPh sb="1" eb="2">
      <t>ケモノ</t>
    </rPh>
    <rPh sb="2" eb="3">
      <t>ゾク</t>
    </rPh>
    <phoneticPr fontId="1"/>
  </si>
  <si>
    <t>悪魔族</t>
    <rPh sb="0" eb="3">
      <t>アクマゾク</t>
    </rPh>
    <phoneticPr fontId="1"/>
  </si>
  <si>
    <t>天使族</t>
    <rPh sb="0" eb="3">
      <t>テンシゾク</t>
    </rPh>
    <phoneticPr fontId="1"/>
  </si>
  <si>
    <t>昆虫族</t>
    <rPh sb="0" eb="3">
      <t>コンチュウゾク</t>
    </rPh>
    <phoneticPr fontId="1"/>
  </si>
  <si>
    <t>恐竜族</t>
    <rPh sb="0" eb="3">
      <t>キョウリュウゾク</t>
    </rPh>
    <phoneticPr fontId="1"/>
  </si>
  <si>
    <t>爬虫類族</t>
    <rPh sb="0" eb="4">
      <t>ハチュウルイゾク</t>
    </rPh>
    <phoneticPr fontId="1"/>
  </si>
  <si>
    <t>魚族</t>
    <rPh sb="0" eb="2">
      <t>サカナゾク</t>
    </rPh>
    <phoneticPr fontId="1"/>
  </si>
  <si>
    <t>海竜族</t>
    <rPh sb="0" eb="1">
      <t>ウミ</t>
    </rPh>
    <rPh sb="1" eb="2">
      <t>リュウ</t>
    </rPh>
    <rPh sb="2" eb="3">
      <t>ゾク</t>
    </rPh>
    <phoneticPr fontId="1"/>
  </si>
  <si>
    <t>水族</t>
    <rPh sb="0" eb="2">
      <t>ミズゾク</t>
    </rPh>
    <phoneticPr fontId="1"/>
  </si>
  <si>
    <t>炎族</t>
    <rPh sb="0" eb="2">
      <t>ホノオゾク</t>
    </rPh>
    <phoneticPr fontId="1"/>
  </si>
  <si>
    <t>雷族</t>
    <rPh sb="0" eb="1">
      <t>カミナリ</t>
    </rPh>
    <rPh sb="1" eb="2">
      <t>ゾク</t>
    </rPh>
    <phoneticPr fontId="1"/>
  </si>
  <si>
    <t>岩石族</t>
    <rPh sb="0" eb="2">
      <t>ガンセキ</t>
    </rPh>
    <rPh sb="2" eb="3">
      <t>ゾク</t>
    </rPh>
    <phoneticPr fontId="1"/>
  </si>
  <si>
    <t>植物族</t>
    <rPh sb="0" eb="3">
      <t>ショクブツゾク</t>
    </rPh>
    <phoneticPr fontId="1"/>
  </si>
  <si>
    <t>機械族</t>
    <rPh sb="0" eb="3">
      <t>キカイゾク</t>
    </rPh>
    <phoneticPr fontId="1"/>
  </si>
  <si>
    <t>サイキック族</t>
    <rPh sb="5" eb="6">
      <t>ゾク</t>
    </rPh>
    <phoneticPr fontId="1"/>
  </si>
  <si>
    <t>幻竜族</t>
    <rPh sb="0" eb="1">
      <t>マボロシ</t>
    </rPh>
    <rPh sb="1" eb="2">
      <t>リュウ</t>
    </rPh>
    <rPh sb="2" eb="3">
      <t>ゾク</t>
    </rPh>
    <phoneticPr fontId="1"/>
  </si>
  <si>
    <t>サイバース族</t>
    <rPh sb="5" eb="6">
      <t>ゾク</t>
    </rPh>
    <phoneticPr fontId="1"/>
  </si>
  <si>
    <t>幻想魔族</t>
    <rPh sb="0" eb="2">
      <t>ゲンソウ</t>
    </rPh>
    <rPh sb="2" eb="4">
      <t>マゾク</t>
    </rPh>
    <phoneticPr fontId="1"/>
  </si>
  <si>
    <t>幻神獣族</t>
    <rPh sb="0" eb="1">
      <t>マボロシ</t>
    </rPh>
    <rPh sb="1" eb="2">
      <t>カミ</t>
    </rPh>
    <rPh sb="2" eb="3">
      <t>ケモノ</t>
    </rPh>
    <rPh sb="3" eb="4">
      <t>ゾク</t>
    </rPh>
    <phoneticPr fontId="1"/>
  </si>
  <si>
    <t>創造神族</t>
    <rPh sb="0" eb="2">
      <t>ソウゾウ</t>
    </rPh>
    <rPh sb="2" eb="3">
      <t>カミ</t>
    </rPh>
    <rPh sb="3" eb="4">
      <t>ゾク</t>
    </rPh>
    <phoneticPr fontId="1"/>
  </si>
  <si>
    <t>ルール：</t>
    <phoneticPr fontId="1"/>
  </si>
  <si>
    <t>通常モンスター</t>
    <phoneticPr fontId="1"/>
  </si>
  <si>
    <t>闇属性</t>
    <phoneticPr fontId="1"/>
  </si>
  <si>
    <t>魔法使い族</t>
    <phoneticPr fontId="1"/>
  </si>
  <si>
    <t>ルールによる永続</t>
    <phoneticPr fontId="1"/>
  </si>
  <si>
    <t>このカードは【引数1】としても扱う</t>
    <phoneticPr fontId="1"/>
  </si>
  <si>
    <t>強欲な壺</t>
    <phoneticPr fontId="1"/>
  </si>
  <si>
    <t>魔法</t>
    <phoneticPr fontId="1"/>
  </si>
  <si>
    <t>通常魔法</t>
    <phoneticPr fontId="1"/>
  </si>
  <si>
    <t>自分フィールドに【引数1】属性かつ【引数2】種族のモンスターがいるとき</t>
    <phoneticPr fontId="1"/>
  </si>
  <si>
    <t>水属性</t>
    <phoneticPr fontId="1"/>
  </si>
  <si>
    <t>戦士族</t>
    <phoneticPr fontId="1"/>
  </si>
  <si>
    <t>カードを【引数1】枚ドローする</t>
    <phoneticPr fontId="1"/>
  </si>
  <si>
    <t>ドラゴン族</t>
    <phoneticPr fontId="1"/>
  </si>
  <si>
    <t>罠</t>
    <phoneticPr fontId="1"/>
  </si>
  <si>
    <t>通常罠</t>
    <phoneticPr fontId="1"/>
  </si>
  <si>
    <t>備考</t>
    <rPh sb="0" eb="2">
      <t>ビコウ</t>
    </rPh>
    <phoneticPr fontId="1"/>
  </si>
  <si>
    <t>yugioh</t>
    <phoneticPr fontId="1"/>
  </si>
  <si>
    <t>CARD_CLASS1</t>
    <phoneticPr fontId="1"/>
  </si>
  <si>
    <t>CARD_CLASS2</t>
    <phoneticPr fontId="1"/>
  </si>
  <si>
    <t>CARD_CLASS3</t>
  </si>
  <si>
    <t>CARD_CLASS4</t>
  </si>
  <si>
    <t>CARD_CLASS5</t>
  </si>
  <si>
    <t>CARD_CLASS6</t>
  </si>
  <si>
    <t>CARD_CLASS7</t>
  </si>
  <si>
    <t>CARD_CLASS8</t>
  </si>
  <si>
    <t>CARD_CLASS9</t>
  </si>
  <si>
    <t>CARD_CLASS10</t>
  </si>
  <si>
    <t>罠</t>
    <rPh sb="0" eb="1">
      <t>ワナ</t>
    </rPh>
    <phoneticPr fontId="1"/>
  </si>
  <si>
    <t>魔法</t>
    <rPh sb="0" eb="2">
      <t>マホウ</t>
    </rPh>
    <phoneticPr fontId="1"/>
  </si>
  <si>
    <t>CARD_DETAILCLASS1</t>
    <phoneticPr fontId="1"/>
  </si>
  <si>
    <t>CARD_DETAILCLASS2</t>
    <phoneticPr fontId="1"/>
  </si>
  <si>
    <t>CARD_DETAILCLASS3</t>
  </si>
  <si>
    <t>CARD_DETAILCLASS4</t>
  </si>
  <si>
    <t>CARD_DETAILCLASS5</t>
  </si>
  <si>
    <t>CARD_DETAILCLASS6</t>
  </si>
  <si>
    <t>CARD_DETAILCLASS7</t>
  </si>
  <si>
    <t>CARD_DETAILCLASS8</t>
  </si>
  <si>
    <t>CARD_DETAILCLASS9</t>
  </si>
  <si>
    <t>CARD_DETAILCLASS10</t>
  </si>
  <si>
    <t>CARD_DETAILCLASS11</t>
  </si>
  <si>
    <t>CARD_DETAILCLASS12</t>
  </si>
  <si>
    <t>CARD_DETAILCLASS13</t>
  </si>
  <si>
    <t>CARD_DETAILCLASS14</t>
  </si>
  <si>
    <t>CARD_DETAILCLASS15</t>
  </si>
  <si>
    <t>CARD_DETAILCLASS16</t>
  </si>
  <si>
    <t>CARD_DETAILCLASS17</t>
  </si>
  <si>
    <t>CARD_DETAILCLASS18</t>
  </si>
  <si>
    <t>CARD_DETAILCLASS19</t>
  </si>
  <si>
    <t>CARD_DETAILCLASS20</t>
  </si>
  <si>
    <t>通常モンスター</t>
    <rPh sb="0" eb="2">
      <t>ツウジョウ</t>
    </rPh>
    <phoneticPr fontId="1"/>
  </si>
  <si>
    <t>効果モンスター</t>
    <rPh sb="0" eb="2">
      <t>コウカ</t>
    </rPh>
    <phoneticPr fontId="1"/>
  </si>
  <si>
    <t>通常魔法</t>
    <rPh sb="0" eb="4">
      <t>ツウジョウマホウ</t>
    </rPh>
    <phoneticPr fontId="1"/>
  </si>
  <si>
    <t>永続魔法</t>
    <rPh sb="0" eb="4">
      <t>エイゾクマホウ</t>
    </rPh>
    <phoneticPr fontId="1"/>
  </si>
  <si>
    <t>速攻魔法</t>
    <rPh sb="0" eb="4">
      <t>ソッコウマホウ</t>
    </rPh>
    <phoneticPr fontId="1"/>
  </si>
  <si>
    <t>フィールド魔法</t>
    <rPh sb="5" eb="7">
      <t>マホウ</t>
    </rPh>
    <phoneticPr fontId="1"/>
  </si>
  <si>
    <t>儀式魔法</t>
    <rPh sb="0" eb="4">
      <t>ギシキマホウ</t>
    </rPh>
    <phoneticPr fontId="1"/>
  </si>
  <si>
    <t>装備魔法</t>
    <rPh sb="0" eb="4">
      <t>ソウビマホウ</t>
    </rPh>
    <phoneticPr fontId="1"/>
  </si>
  <si>
    <t>通常罠</t>
    <rPh sb="0" eb="3">
      <t>ツウジョウワナ</t>
    </rPh>
    <phoneticPr fontId="1"/>
  </si>
  <si>
    <t>永続罠</t>
    <rPh sb="0" eb="3">
      <t>エイゾクワナ</t>
    </rPh>
    <phoneticPr fontId="1"/>
  </si>
  <si>
    <t>カウンター罠</t>
    <rPh sb="5" eb="6">
      <t>ワナ</t>
    </rPh>
    <phoneticPr fontId="1"/>
  </si>
  <si>
    <t>儀式モンスター</t>
    <rPh sb="0" eb="2">
      <t>ギシキ</t>
    </rPh>
    <phoneticPr fontId="1"/>
  </si>
  <si>
    <t>CARD_TYPE11</t>
  </si>
  <si>
    <t>CARD_TYPE12</t>
  </si>
  <si>
    <t>CARD_TYPE13</t>
  </si>
  <si>
    <t>CARD_TYPE14</t>
  </si>
  <si>
    <t>CARD_TYPE15</t>
  </si>
  <si>
    <t>CARD_TYPE16</t>
  </si>
  <si>
    <t>CARD_TYPE17</t>
  </si>
  <si>
    <t>CARD_TYPE18</t>
  </si>
  <si>
    <t>CARD_TYPE19</t>
  </si>
  <si>
    <t>CARD_TYPE20</t>
  </si>
  <si>
    <t>通常モンスター</t>
    <phoneticPr fontId="1"/>
  </si>
  <si>
    <t>落とし穴</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</si>
</sst>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游ゴシック"/>
      <family val="2"/>
      <charset val="128"/>
      <scheme val="minor"/>
    </font>
    <font>
      <sz val="6"/>
      <name val="游ゴシック"/>
      <family val="2"/>
      <charset val="128"/>
      <scheme val="minor"/>
    </font>
    <font>
      <b/>
      <sz val="18"/>
      <color theme="1"/>
      <name val="游ゴシック"/>
      <family val="3"/>
      <charset val="128"/>
      <scheme val="minor"/>
    </font>
    <font>
      <sz val="11"/>
      <color rgb="FF000000"/>
      <name val="游ゴシック"/>
      <family val="3"/>
      <charset val="128"/>
    </font>
    <font>
      <b/>
      <sz val="12"/>
      <color rgb="FFFF0000"/>
      <name val="游ゴシック"/>
      <family val="3"/>
      <charset val="128"/>
      <scheme val="minor"/>
    </font>
  </fonts>
  <fills count="8">
    <fill>
      <patternFill patternType="none"/>
    </fill>
    <fill>
      <patternFill patternType="gray125"/>
    </fill>
    <fill>
      <patternFill patternType="solid">
        <fgColor rgb="FFFFFF00"/>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249977111117893"/>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ck">
        <color indexed="64"/>
      </bottom>
      <diagonal/>
    </border>
    <border>
      <left/>
      <right/>
      <top/>
      <bottom style="thick">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ck">
        <color indexed="64"/>
      </bottom>
      <diagonal/>
    </border>
  </borders>
  <cellStyleXfs count="1">
    <xf numFmtId="0" fontId="0" fillId="0" borderId="0">
      <alignment vertical="center"/>
    </xf>
  </cellStyleXfs>
  <cellXfs count="27">
    <xf numFmtId="0" fontId="0" fillId="0" borderId="0" xfId="0">
      <alignment vertical="center"/>
    </xf>
    <xf numFmtId="0" fontId="2" fillId="0" borderId="0" xfId="0" applyFont="1">
      <alignment vertical="center"/>
    </xf>
    <xf numFmtId="0" fontId="0" fillId="3" borderId="3" xfId="0" applyFill="1" applyBorder="1">
      <alignment vertical="center"/>
    </xf>
    <xf numFmtId="0" fontId="0" fillId="3" borderId="4" xfId="0" applyFill="1" applyBorder="1">
      <alignment vertical="center"/>
    </xf>
    <xf numFmtId="0" fontId="0" fillId="2" borderId="1" xfId="0" applyFill="1" applyBorder="1" applyAlignment="1">
      <alignment horizontal="center" vertical="center"/>
    </xf>
    <xf numFmtId="0" fontId="0" fillId="2" borderId="2" xfId="0" applyFill="1" applyBorder="1" applyAlignment="1">
      <alignment horizontal="center" vertical="center"/>
    </xf>
    <xf numFmtId="0" fontId="0" fillId="2" borderId="0" xfId="0" applyFill="1">
      <alignment vertical="center"/>
    </xf>
    <xf numFmtId="0" fontId="0" fillId="0" borderId="0" xfId="0" applyAlignment="1"/>
    <xf numFmtId="0" fontId="0" fillId="0" borderId="1" xfId="0" applyBorder="1" applyAlignment="1">
      <alignment horizontal="center" vertical="center"/>
    </xf>
    <xf numFmtId="0" fontId="0" fillId="0" borderId="2" xfId="0" applyBorder="1" applyAlignment="1">
      <alignment horizontal="center" vertical="center"/>
    </xf>
    <xf numFmtId="0" fontId="0" fillId="7" borderId="0" xfId="0" applyFill="1">
      <alignment vertical="center"/>
    </xf>
    <xf numFmtId="0" fontId="4" fillId="0" borderId="0" xfId="0" applyFont="1" applyAlignment="1">
      <alignment horizontal="right" vertical="center" indent="1"/>
    </xf>
    <xf numFmtId="0" fontId="0" fillId="3" borderId="8" xfId="0" applyFill="1" applyBorder="1">
      <alignment vertical="center"/>
    </xf>
    <xf numFmtId="0" fontId="0" fillId="2" borderId="1" xfId="0" applyFill="1" applyBorder="1">
      <alignment vertical="center"/>
    </xf>
    <xf numFmtId="0" fontId="0" fillId="0" borderId="1" xfId="0" applyBorder="1">
      <alignment vertical="center"/>
    </xf>
    <xf numFmtId="0" fontId="0" fillId="3" borderId="1" xfId="0" applyFill="1" applyBorder="1">
      <alignment vertical="center"/>
    </xf>
    <xf numFmtId="0" fontId="0" fillId="6" borderId="5" xfId="0" applyFill="1" applyBorder="1" applyAlignment="1">
      <alignment horizontal="center" vertical="center"/>
    </xf>
    <xf numFmtId="0" fontId="0" fillId="6" borderId="7" xfId="0" applyFill="1" applyBorder="1" applyAlignment="1">
      <alignment horizontal="center" vertical="center"/>
    </xf>
    <xf numFmtId="0" fontId="0" fillId="0" borderId="5" xfId="0" applyBorder="1" applyAlignment="1">
      <alignment horizontal="center" vertical="center"/>
    </xf>
    <xf numFmtId="0" fontId="0" fillId="0" borderId="7" xfId="0" applyBorder="1" applyAlignment="1">
      <alignment horizontal="center" vertical="center"/>
    </xf>
    <xf numFmtId="0" fontId="0" fillId="0" borderId="6" xfId="0" applyBorder="1" applyAlignment="1">
      <alignment horizontal="center" vertical="center"/>
    </xf>
    <xf numFmtId="0" fontId="0" fillId="4" borderId="5" xfId="0" applyFill="1" applyBorder="1" applyAlignment="1">
      <alignment horizontal="center" vertical="center"/>
    </xf>
    <xf numFmtId="0" fontId="0" fillId="4" borderId="7" xfId="0" applyFill="1" applyBorder="1" applyAlignment="1">
      <alignment horizontal="center" vertical="center"/>
    </xf>
    <xf numFmtId="0" fontId="0" fillId="5" borderId="5" xfId="0" applyFill="1" applyBorder="1" applyAlignment="1">
      <alignment horizontal="center" vertical="center"/>
    </xf>
    <xf numFmtId="0" fontId="0" fillId="5" borderId="7" xfId="0" applyFill="1" applyBorder="1" applyAlignment="1">
      <alignment horizontal="center" vertical="center"/>
    </xf>
    <xf numFmtId="0" fontId="0" fillId="2" borderId="5" xfId="0" applyFill="1" applyBorder="1" applyAlignment="1">
      <alignment horizontal="center" vertical="center"/>
    </xf>
    <xf numFmtId="0" fontId="0" fillId="2" borderId="6" xfId="0" applyFill="1" applyBorder="1" applyAlignment="1">
      <alignment horizontal="center" vertic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273050</xdr:colOff>
          <xdr:row>1</xdr:row>
          <xdr:rowOff>298450</xdr:rowOff>
        </xdr:from>
        <xdr:to>
          <xdr:col>1</xdr:col>
          <xdr:colOff>1524000</xdr:colOff>
          <xdr:row>1</xdr:row>
          <xdr:rowOff>762000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出力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1790700</xdr:colOff>
          <xdr:row>1</xdr:row>
          <xdr:rowOff>285750</xdr:rowOff>
        </xdr:from>
        <xdr:to>
          <xdr:col>2</xdr:col>
          <xdr:colOff>476250</xdr:colOff>
          <xdr:row>1</xdr:row>
          <xdr:rowOff>749300</xdr:rowOff>
        </xdr:to>
        <xdr:sp macro="" textlink="">
          <xdr:nvSpPr>
            <xdr:cNvPr id="1047" name="Button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データ読み込み</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565150</xdr:colOff>
          <xdr:row>1</xdr:row>
          <xdr:rowOff>266700</xdr:rowOff>
        </xdr:from>
        <xdr:to>
          <xdr:col>3</xdr:col>
          <xdr:colOff>857250</xdr:colOff>
          <xdr:row>1</xdr:row>
          <xdr:rowOff>730250</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ルール選択</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1</xdr:row>
          <xdr:rowOff>273050</xdr:rowOff>
        </xdr:from>
        <xdr:to>
          <xdr:col>5</xdr:col>
          <xdr:colOff>762000</xdr:colOff>
          <xdr:row>1</xdr:row>
          <xdr:rowOff>736600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ref更新</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F2251A-3AF4-4C70-A911-D9A5F9698B0F}">
  <sheetPr codeName="Sheet1"/>
  <dimension ref="A1:CI59"/>
  <sheetViews>
    <sheetView tabSelected="1" zoomScale="70" zoomScaleNormal="70" workbookViewId="0"/>
  </sheetViews>
  <sheetFormatPr defaultRowHeight="18" x14ac:dyDescent="0.55000000000000004"/>
  <cols>
    <col min="1" max="1" width="3.6640625" bestFit="1" customWidth="1"/>
    <col min="2" max="2" width="39.25" bestFit="1" customWidth="1"/>
    <col min="3" max="3" width="18.1640625" customWidth="1"/>
    <col min="4" max="4" width="14.33203125" bestFit="1" customWidth="1"/>
    <col min="5" max="5" width="12.25" bestFit="1" customWidth="1"/>
    <col min="6" max="6" width="14.33203125" bestFit="1" customWidth="1"/>
    <col min="7" max="7" width="5.1640625" bestFit="1" customWidth="1"/>
    <col min="8" max="8" width="7.5" bestFit="1" customWidth="1"/>
    <col min="9" max="9" width="5.1640625" bestFit="1" customWidth="1"/>
    <col min="10" max="10" width="7.5" bestFit="1" customWidth="1"/>
    <col min="11" max="11" width="10.4140625" bestFit="1" customWidth="1"/>
    <col min="12" max="12" width="7.5" bestFit="1" customWidth="1"/>
    <col min="13" max="13" width="10.5" customWidth="1"/>
    <col min="14" max="14" width="7.5" bestFit="1" customWidth="1"/>
    <col min="15" max="15" width="9.5" bestFit="1" customWidth="1"/>
    <col min="16" max="16" width="7.5" bestFit="1" customWidth="1"/>
    <col min="17" max="17" width="9.5" bestFit="1" customWidth="1"/>
    <col min="18" max="18" width="7.5" bestFit="1" customWidth="1"/>
    <col min="19" max="19" width="9.5" bestFit="1" customWidth="1"/>
    <col min="20" max="20" width="7.5" bestFit="1" customWidth="1"/>
    <col min="21" max="21" width="9.5" bestFit="1" customWidth="1"/>
    <col min="22" max="22" width="7.5" bestFit="1" customWidth="1"/>
    <col min="23" max="23" width="9.5" bestFit="1" customWidth="1"/>
    <col min="24" max="24" width="7.5" bestFit="1" customWidth="1"/>
    <col min="25" max="25" width="9.5" bestFit="1" customWidth="1"/>
    <col min="26" max="26" width="7.5" bestFit="1" customWidth="1"/>
    <col min="27" max="27" width="63.1640625" customWidth="1"/>
    <col min="28" max="31" width="17.08203125" bestFit="1" customWidth="1"/>
    <col min="32" max="32" width="29.1640625" bestFit="1" customWidth="1"/>
    <col min="33" max="36" width="17.08203125" bestFit="1" customWidth="1"/>
    <col min="37" max="37" width="9.08203125" bestFit="1" customWidth="1"/>
    <col min="38" max="38" width="4.08203125" bestFit="1" customWidth="1"/>
    <col min="39" max="39" width="14.4140625" bestFit="1" customWidth="1"/>
    <col min="40" max="40" width="4.08203125" bestFit="1" customWidth="1"/>
    <col min="41" max="41" width="14.4140625" bestFit="1" customWidth="1"/>
    <col min="42" max="42" width="10.08203125" bestFit="1" customWidth="1"/>
    <col min="43" max="43" width="4.08203125" bestFit="1" customWidth="1"/>
    <col min="44" max="44" width="15.75" bestFit="1" customWidth="1"/>
    <col min="45" max="45" width="4.08203125" bestFit="1" customWidth="1"/>
    <col min="46" max="46" width="15.75" bestFit="1" customWidth="1"/>
    <col min="47" max="47" width="9.08203125" bestFit="1" customWidth="1"/>
    <col min="48" max="48" width="4.08203125" bestFit="1" customWidth="1"/>
    <col min="49" max="49" width="14.4140625" bestFit="1" customWidth="1"/>
    <col min="50" max="50" width="4.08203125" bestFit="1" customWidth="1"/>
    <col min="51" max="51" width="14.4140625" bestFit="1" customWidth="1"/>
    <col min="52" max="52" width="10.08203125" bestFit="1" customWidth="1"/>
    <col min="53" max="53" width="4.08203125" bestFit="1" customWidth="1"/>
    <col min="54" max="54" width="15.75" bestFit="1" customWidth="1"/>
    <col min="55" max="55" width="4.08203125" bestFit="1" customWidth="1"/>
    <col min="56" max="56" width="15.75" bestFit="1" customWidth="1"/>
    <col min="57" max="57" width="63.1640625" customWidth="1"/>
    <col min="58" max="61" width="17.08203125" bestFit="1" customWidth="1"/>
    <col min="62" max="62" width="29.1640625" bestFit="1" customWidth="1"/>
    <col min="63" max="66" width="17.08203125" bestFit="1" customWidth="1"/>
    <col min="67" max="67" width="9.08203125" bestFit="1" customWidth="1"/>
    <col min="68" max="68" width="4.08203125" bestFit="1" customWidth="1"/>
    <col min="69" max="69" width="14.4140625" bestFit="1" customWidth="1"/>
    <col min="70" max="70" width="4.08203125" bestFit="1" customWidth="1"/>
    <col min="71" max="71" width="14.4140625" bestFit="1" customWidth="1"/>
    <col min="72" max="72" width="10.08203125" bestFit="1" customWidth="1"/>
    <col min="73" max="73" width="4.08203125" bestFit="1" customWidth="1"/>
    <col min="74" max="74" width="15.75" bestFit="1" customWidth="1"/>
    <col min="75" max="75" width="4.08203125" bestFit="1" customWidth="1"/>
    <col min="76" max="76" width="15.75" bestFit="1" customWidth="1"/>
    <col min="77" max="77" width="9.08203125" bestFit="1" customWidth="1"/>
    <col min="78" max="78" width="4.08203125" bestFit="1" customWidth="1"/>
    <col min="79" max="79" width="14.4140625" bestFit="1" customWidth="1"/>
    <col min="80" max="80" width="4.08203125" bestFit="1" customWidth="1"/>
    <col min="81" max="81" width="14.4140625" bestFit="1" customWidth="1"/>
    <col min="82" max="82" width="10.08203125" bestFit="1" customWidth="1"/>
    <col min="83" max="83" width="4.08203125" bestFit="1" customWidth="1"/>
    <col min="84" max="84" width="15.75" bestFit="1" customWidth="1"/>
    <col min="85" max="85" width="4.08203125" bestFit="1" customWidth="1"/>
    <col min="86" max="86" width="15.75" bestFit="1" customWidth="1"/>
  </cols>
  <sheetData>
    <row r="1" spans="1:87" ht="29" x14ac:dyDescent="0.55000000000000004">
      <c r="A1" s="1" t="s">
        <v>2</v>
      </c>
      <c r="C1" s="11" t="s">
        <v>178</v>
      </c>
      <c r="D1" t="s">
        <v>195</v>
      </c>
    </row>
    <row r="2" spans="1:87" ht="72" customHeight="1" x14ac:dyDescent="0.55000000000000004"/>
    <row r="3" spans="1:87" ht="37.5" customHeight="1" x14ac:dyDescent="0.55000000000000004">
      <c r="A3" s="4" t="s">
        <v>0</v>
      </c>
      <c r="B3" s="4" t="s">
        <v>3</v>
      </c>
      <c r="C3" s="4" t="s">
        <v>5</v>
      </c>
      <c r="D3" s="5" t="s">
        <v>11</v>
      </c>
      <c r="E3" s="5" t="s">
        <v>100</v>
      </c>
      <c r="F3" s="5" t="s">
        <v>101</v>
      </c>
      <c r="G3" s="25" t="s">
        <v>12</v>
      </c>
      <c r="H3" s="26"/>
      <c r="I3" s="25" t="s">
        <v>13</v>
      </c>
      <c r="J3" s="26"/>
      <c r="K3" s="25" t="s">
        <v>14</v>
      </c>
      <c r="L3" s="26"/>
      <c r="M3" s="25" t="s">
        <v>15</v>
      </c>
      <c r="N3" s="26"/>
      <c r="O3" s="25" t="s">
        <v>16</v>
      </c>
      <c r="P3" s="26"/>
      <c r="Q3" s="25" t="s">
        <v>17</v>
      </c>
      <c r="R3" s="26"/>
      <c r="S3" s="25" t="s">
        <v>18</v>
      </c>
      <c r="T3" s="26"/>
      <c r="U3" s="25" t="s">
        <v>19</v>
      </c>
      <c r="V3" s="26"/>
      <c r="W3" s="25" t="s">
        <v>32</v>
      </c>
      <c r="X3" s="26"/>
      <c r="Y3" s="25" t="s">
        <v>33</v>
      </c>
      <c r="Z3" s="26"/>
      <c r="AA3" s="21" t="s">
        <v>28</v>
      </c>
      <c r="AB3" s="22"/>
      <c r="AC3" s="22"/>
      <c r="AD3" s="22"/>
      <c r="AE3" s="22"/>
      <c r="AF3" s="21" t="s">
        <v>31</v>
      </c>
      <c r="AG3" s="22"/>
      <c r="AH3" s="22"/>
      <c r="AI3" s="22"/>
      <c r="AJ3" s="22"/>
      <c r="AK3" s="23" t="s">
        <v>30</v>
      </c>
      <c r="AL3" s="24"/>
      <c r="AM3" s="24"/>
      <c r="AN3" s="24"/>
      <c r="AO3" s="24"/>
      <c r="AP3" s="23" t="s">
        <v>29</v>
      </c>
      <c r="AQ3" s="24"/>
      <c r="AR3" s="24"/>
      <c r="AS3" s="24"/>
      <c r="AT3" s="24"/>
      <c r="AU3" s="16" t="s">
        <v>40</v>
      </c>
      <c r="AV3" s="17"/>
      <c r="AW3" s="17"/>
      <c r="AX3" s="17"/>
      <c r="AY3" s="17"/>
      <c r="AZ3" s="16" t="s">
        <v>41</v>
      </c>
      <c r="BA3" s="17"/>
      <c r="BB3" s="17"/>
      <c r="BC3" s="17"/>
      <c r="BD3" s="17"/>
      <c r="BE3" s="21" t="s">
        <v>50</v>
      </c>
      <c r="BF3" s="22"/>
      <c r="BG3" s="22"/>
      <c r="BH3" s="22"/>
      <c r="BI3" s="22"/>
      <c r="BJ3" s="21" t="s">
        <v>51</v>
      </c>
      <c r="BK3" s="22"/>
      <c r="BL3" s="22"/>
      <c r="BM3" s="22"/>
      <c r="BN3" s="22"/>
      <c r="BO3" s="23" t="s">
        <v>52</v>
      </c>
      <c r="BP3" s="24"/>
      <c r="BQ3" s="24"/>
      <c r="BR3" s="24"/>
      <c r="BS3" s="24"/>
      <c r="BT3" s="23" t="s">
        <v>53</v>
      </c>
      <c r="BU3" s="24"/>
      <c r="BV3" s="24"/>
      <c r="BW3" s="24"/>
      <c r="BX3" s="24"/>
      <c r="BY3" s="16" t="s">
        <v>54</v>
      </c>
      <c r="BZ3" s="17"/>
      <c r="CA3" s="17"/>
      <c r="CB3" s="17"/>
      <c r="CC3" s="17"/>
      <c r="CD3" s="16" t="s">
        <v>55</v>
      </c>
      <c r="CE3" s="17"/>
      <c r="CF3" s="17"/>
      <c r="CG3" s="17"/>
      <c r="CH3" s="17"/>
      <c r="CI3" s="13" t="s">
        <v>194</v>
      </c>
    </row>
    <row r="4" spans="1:87" ht="37.5" customHeight="1" x14ac:dyDescent="0.55000000000000004">
      <c r="A4" s="8"/>
      <c r="B4" s="8"/>
      <c r="C4" s="8"/>
      <c r="D4" s="9"/>
      <c r="E4" s="9"/>
      <c r="F4" s="9"/>
      <c r="G4" s="18" t="str">
        <f>ref!B3</f>
        <v>攻撃力</v>
      </c>
      <c r="H4" s="20"/>
      <c r="I4" s="18" t="str">
        <f>ref!B4</f>
        <v>守備力</v>
      </c>
      <c r="J4" s="20"/>
      <c r="K4" s="18" t="str">
        <f>ref!B5</f>
        <v>属性</v>
      </c>
      <c r="L4" s="20"/>
      <c r="M4" s="18" t="str">
        <f>ref!B6</f>
        <v>種族</v>
      </c>
      <c r="N4" s="20"/>
      <c r="O4" s="18" t="str">
        <f>ref!B7</f>
        <v>レベル</v>
      </c>
      <c r="P4" s="20"/>
      <c r="Q4" s="18">
        <f>ref!B8</f>
        <v>0</v>
      </c>
      <c r="R4" s="20"/>
      <c r="S4" s="18">
        <f>ref!B9</f>
        <v>0</v>
      </c>
      <c r="T4" s="20"/>
      <c r="U4" s="18">
        <f>ref!B10</f>
        <v>0</v>
      </c>
      <c r="V4" s="20"/>
      <c r="W4" s="18">
        <f>ref!B11</f>
        <v>0</v>
      </c>
      <c r="X4" s="20"/>
      <c r="Y4" s="18">
        <f>ref!B12</f>
        <v>0</v>
      </c>
      <c r="Z4" s="20"/>
      <c r="AA4" s="18"/>
      <c r="AB4" s="19"/>
      <c r="AC4" s="19"/>
      <c r="AD4" s="19"/>
      <c r="AE4" s="20"/>
      <c r="AF4" s="18"/>
      <c r="AG4" s="19"/>
      <c r="AH4" s="19"/>
      <c r="AI4" s="19"/>
      <c r="AJ4" s="19"/>
      <c r="AK4" s="18"/>
      <c r="AL4" s="19"/>
      <c r="AM4" s="19"/>
      <c r="AN4" s="19"/>
      <c r="AO4" s="20"/>
      <c r="AP4" s="18"/>
      <c r="AQ4" s="19"/>
      <c r="AR4" s="19"/>
      <c r="AS4" s="19"/>
      <c r="AT4" s="19"/>
      <c r="AU4" s="18"/>
      <c r="AV4" s="19"/>
      <c r="AW4" s="19"/>
      <c r="AX4" s="19"/>
      <c r="AY4" s="20"/>
      <c r="AZ4" s="18"/>
      <c r="BA4" s="19"/>
      <c r="BB4" s="19"/>
      <c r="BC4" s="19"/>
      <c r="BD4" s="19"/>
      <c r="BE4" s="18"/>
      <c r="BF4" s="19"/>
      <c r="BG4" s="19"/>
      <c r="BH4" s="19"/>
      <c r="BI4" s="20"/>
      <c r="BJ4" s="18"/>
      <c r="BK4" s="19"/>
      <c r="BL4" s="19"/>
      <c r="BM4" s="19"/>
      <c r="BN4" s="19"/>
      <c r="BO4" s="18"/>
      <c r="BP4" s="19"/>
      <c r="BQ4" s="19"/>
      <c r="BR4" s="19"/>
      <c r="BS4" s="20"/>
      <c r="BT4" s="18"/>
      <c r="BU4" s="19"/>
      <c r="BV4" s="19"/>
      <c r="BW4" s="19"/>
      <c r="BX4" s="19"/>
      <c r="BY4" s="18"/>
      <c r="BZ4" s="19"/>
      <c r="CA4" s="19"/>
      <c r="CB4" s="19"/>
      <c r="CC4" s="20"/>
      <c r="CD4" s="18"/>
      <c r="CE4" s="19"/>
      <c r="CF4" s="19"/>
      <c r="CG4" s="19"/>
      <c r="CH4" s="19"/>
      <c r="CI4" s="14"/>
    </row>
    <row r="5" spans="1:87" s="3" customFormat="1" ht="18.5" thickBot="1" x14ac:dyDescent="0.6">
      <c r="A5" s="2" t="s">
        <v>1</v>
      </c>
      <c r="B5" s="2" t="s">
        <v>4</v>
      </c>
      <c r="C5" s="2" t="s">
        <v>6</v>
      </c>
      <c r="D5" s="2" t="s">
        <v>10</v>
      </c>
      <c r="E5" s="2" t="s">
        <v>102</v>
      </c>
      <c r="F5" s="2" t="s">
        <v>103</v>
      </c>
      <c r="G5" s="2"/>
      <c r="H5" s="2" t="s">
        <v>22</v>
      </c>
      <c r="I5" s="2"/>
      <c r="J5" s="2" t="s">
        <v>23</v>
      </c>
      <c r="K5" s="2"/>
      <c r="L5" s="2" t="s">
        <v>24</v>
      </c>
      <c r="M5" s="2"/>
      <c r="N5" s="2" t="s">
        <v>25</v>
      </c>
      <c r="O5" s="2"/>
      <c r="P5" s="2" t="s">
        <v>26</v>
      </c>
      <c r="Q5" s="2"/>
      <c r="R5" s="2" t="s">
        <v>27</v>
      </c>
      <c r="S5" s="2"/>
      <c r="T5" s="2" t="s">
        <v>45</v>
      </c>
      <c r="U5" s="2"/>
      <c r="V5" s="2" t="s">
        <v>46</v>
      </c>
      <c r="W5" s="2"/>
      <c r="X5" s="2" t="s">
        <v>47</v>
      </c>
      <c r="Y5" s="2"/>
      <c r="Z5" s="2" t="s">
        <v>48</v>
      </c>
      <c r="AA5" s="2" t="s">
        <v>56</v>
      </c>
      <c r="AB5" s="2"/>
      <c r="AC5" s="2" t="s">
        <v>57</v>
      </c>
      <c r="AD5" s="2"/>
      <c r="AE5" s="2" t="s">
        <v>58</v>
      </c>
      <c r="AF5" s="2" t="s">
        <v>34</v>
      </c>
      <c r="AG5" s="2"/>
      <c r="AH5" s="2" t="s">
        <v>35</v>
      </c>
      <c r="AI5" s="2"/>
      <c r="AJ5" s="2" t="s">
        <v>36</v>
      </c>
      <c r="AK5" s="2" t="s">
        <v>59</v>
      </c>
      <c r="AL5" s="2"/>
      <c r="AM5" s="2" t="s">
        <v>60</v>
      </c>
      <c r="AN5" s="2"/>
      <c r="AO5" s="2" t="s">
        <v>61</v>
      </c>
      <c r="AP5" s="2" t="s">
        <v>37</v>
      </c>
      <c r="AQ5" s="2"/>
      <c r="AR5" s="2" t="s">
        <v>38</v>
      </c>
      <c r="AS5" s="2"/>
      <c r="AT5" s="2" t="s">
        <v>39</v>
      </c>
      <c r="AU5" s="2" t="s">
        <v>62</v>
      </c>
      <c r="AV5" s="2"/>
      <c r="AW5" s="2" t="s">
        <v>63</v>
      </c>
      <c r="AX5" s="2"/>
      <c r="AY5" s="2" t="s">
        <v>64</v>
      </c>
      <c r="AZ5" s="2" t="s">
        <v>42</v>
      </c>
      <c r="BA5" s="2"/>
      <c r="BB5" s="2" t="s">
        <v>43</v>
      </c>
      <c r="BC5" s="2"/>
      <c r="BD5" s="2" t="s">
        <v>44</v>
      </c>
      <c r="BE5" s="2" t="s">
        <v>65</v>
      </c>
      <c r="BF5" s="2"/>
      <c r="BG5" s="2" t="s">
        <v>66</v>
      </c>
      <c r="BH5" s="2"/>
      <c r="BI5" s="2" t="s">
        <v>67</v>
      </c>
      <c r="BJ5" s="2" t="s">
        <v>68</v>
      </c>
      <c r="BK5" s="2"/>
      <c r="BL5" s="2" t="s">
        <v>69</v>
      </c>
      <c r="BM5" s="2"/>
      <c r="BN5" s="2" t="s">
        <v>70</v>
      </c>
      <c r="BO5" s="2" t="s">
        <v>71</v>
      </c>
      <c r="BP5" s="2"/>
      <c r="BQ5" s="2" t="s">
        <v>72</v>
      </c>
      <c r="BR5" s="2"/>
      <c r="BS5" s="2" t="s">
        <v>73</v>
      </c>
      <c r="BT5" s="2" t="s">
        <v>74</v>
      </c>
      <c r="BU5" s="2"/>
      <c r="BV5" s="2" t="s">
        <v>75</v>
      </c>
      <c r="BW5" s="2"/>
      <c r="BX5" s="2" t="s">
        <v>76</v>
      </c>
      <c r="BY5" s="2" t="s">
        <v>77</v>
      </c>
      <c r="BZ5" s="2"/>
      <c r="CA5" s="2" t="s">
        <v>78</v>
      </c>
      <c r="CB5" s="2"/>
      <c r="CC5" s="2" t="s">
        <v>79</v>
      </c>
      <c r="CD5" s="2" t="s">
        <v>80</v>
      </c>
      <c r="CE5" s="2"/>
      <c r="CF5" s="2" t="s">
        <v>81</v>
      </c>
      <c r="CG5" s="2"/>
      <c r="CH5" s="12" t="s">
        <v>82</v>
      </c>
      <c r="CI5" s="15"/>
    </row>
    <row r="6" spans="1:87" ht="18.5" thickTop="1" x14ac:dyDescent="0.55000000000000004">
      <c r="A6">
        <v>1</v>
      </c>
      <c r="B6" t="s">
        <v>21</v>
      </c>
      <c r="C6" t="s">
        <v>9</v>
      </c>
      <c r="D6">
        <v>1</v>
      </c>
      <c r="E6" t="s">
        <v>20</v>
      </c>
      <c r="F6" t="s">
        <v>179</v>
      </c>
      <c r="H6" s="10">
        <v>-1</v>
      </c>
      <c r="I6">
        <v>2100</v>
      </c>
      <c r="J6" s="10">
        <v>2100</v>
      </c>
      <c r="K6" t="s">
        <v>180</v>
      </c>
      <c r="L6" s="10">
        <v>-1</v>
      </c>
      <c r="M6" t="s">
        <v>181</v>
      </c>
      <c r="N6" s="10">
        <v>-1</v>
      </c>
      <c r="O6">
        <v>7</v>
      </c>
      <c r="P6" s="10">
        <v>-1</v>
      </c>
      <c r="R6" s="10">
        <v>-1</v>
      </c>
      <c r="T6" s="10">
        <v>-1</v>
      </c>
      <c r="V6" s="10">
        <v>-1</v>
      </c>
      <c r="X6" s="10">
        <v>-1</v>
      </c>
      <c r="Z6" s="10">
        <v>-1</v>
      </c>
      <c r="AA6" t="s">
        <v>182</v>
      </c>
      <c r="AC6" s="10">
        <v>-1</v>
      </c>
      <c r="AE6" s="10">
        <v>-1</v>
      </c>
      <c r="AF6" t="s">
        <v>183</v>
      </c>
      <c r="AG6" t="s">
        <v>21</v>
      </c>
      <c r="AH6" s="10">
        <v>-1</v>
      </c>
      <c r="AJ6" s="10">
        <v>-1</v>
      </c>
      <c r="AM6" s="10">
        <v>-1</v>
      </c>
      <c r="AO6" s="10">
        <v>-1</v>
      </c>
      <c r="AR6" s="10">
        <v>-1</v>
      </c>
      <c r="AT6" s="10">
        <v>-1</v>
      </c>
      <c r="AW6" s="10">
        <v>-1</v>
      </c>
      <c r="AY6" s="10">
        <v>-1</v>
      </c>
      <c r="BB6" s="10">
        <v>-1</v>
      </c>
      <c r="BD6" s="10">
        <v>-1</v>
      </c>
      <c r="BG6" s="10">
        <v>-1</v>
      </c>
      <c r="BI6" s="10">
        <v>-1</v>
      </c>
      <c r="BL6" s="10">
        <v>-1</v>
      </c>
      <c r="BN6" s="10">
        <v>-1</v>
      </c>
      <c r="BQ6" s="10">
        <v>-1</v>
      </c>
      <c r="BS6" s="10">
        <v>-1</v>
      </c>
      <c r="BV6" s="10">
        <v>-1</v>
      </c>
      <c r="BX6" s="10">
        <v>-1</v>
      </c>
      <c r="CA6" s="10">
        <v>-1</v>
      </c>
      <c r="CC6" s="10">
        <v>-1</v>
      </c>
      <c r="CF6" s="10">
        <v>-1</v>
      </c>
      <c r="CH6" s="10">
        <v>-1</v>
      </c>
    </row>
    <row r="7" spans="1:87" x14ac:dyDescent="0.55000000000000004">
      <c r="A7">
        <v>2</v>
      </c>
      <c r="B7" t="s">
        <v>184</v>
      </c>
      <c r="C7" t="s">
        <v>7</v>
      </c>
      <c r="D7">
        <v>2</v>
      </c>
      <c r="E7" t="s">
        <v>185</v>
      </c>
      <c r="F7" t="s">
        <v>186</v>
      </c>
      <c r="H7" s="10">
        <v>-1</v>
      </c>
      <c r="J7" s="10">
        <v>-1</v>
      </c>
      <c r="L7" s="10">
        <v>-1</v>
      </c>
      <c r="N7" s="10">
        <v>-1</v>
      </c>
      <c r="P7" s="10">
        <v>-1</v>
      </c>
      <c r="R7" s="10">
        <v>-1</v>
      </c>
      <c r="T7" s="10">
        <v>-1</v>
      </c>
      <c r="V7" s="10">
        <v>-1</v>
      </c>
      <c r="X7" s="10">
        <v>-1</v>
      </c>
      <c r="Z7" s="10">
        <v>-1</v>
      </c>
      <c r="AA7" t="s">
        <v>187</v>
      </c>
      <c r="AB7" t="s">
        <v>188</v>
      </c>
      <c r="AC7" s="10">
        <v>-1</v>
      </c>
      <c r="AD7" t="s">
        <v>189</v>
      </c>
      <c r="AE7" s="10">
        <v>-1</v>
      </c>
      <c r="AF7" t="s">
        <v>190</v>
      </c>
      <c r="AG7">
        <v>2</v>
      </c>
      <c r="AH7" s="10">
        <v>-1</v>
      </c>
      <c r="AJ7" s="10">
        <v>-1</v>
      </c>
      <c r="AM7" s="10">
        <v>-1</v>
      </c>
      <c r="AO7" s="10">
        <v>-1</v>
      </c>
      <c r="AR7" s="10">
        <v>-1</v>
      </c>
      <c r="AT7" s="10">
        <v>-1</v>
      </c>
      <c r="AW7" s="10">
        <v>-1</v>
      </c>
      <c r="AY7" s="10">
        <v>-1</v>
      </c>
      <c r="BB7" s="10">
        <v>-1</v>
      </c>
      <c r="BD7" s="10">
        <v>-1</v>
      </c>
      <c r="BG7" s="10">
        <v>-1</v>
      </c>
      <c r="BI7" s="10">
        <v>-1</v>
      </c>
      <c r="BL7" s="10">
        <v>-1</v>
      </c>
      <c r="BN7" s="10">
        <v>-1</v>
      </c>
      <c r="BQ7" s="10">
        <v>-1</v>
      </c>
      <c r="BS7" s="10">
        <v>-1</v>
      </c>
      <c r="BV7" s="10">
        <v>-1</v>
      </c>
      <c r="BX7" s="10">
        <v>-1</v>
      </c>
      <c r="CA7" s="10">
        <v>-1</v>
      </c>
      <c r="CC7" s="10">
        <v>-1</v>
      </c>
      <c r="CF7" s="10">
        <v>-1</v>
      </c>
      <c r="CH7" s="10">
        <v>-1</v>
      </c>
    </row>
    <row r="8" spans="1:87" x14ac:dyDescent="0.55000000000000004">
      <c r="A8">
        <v>3</v>
      </c>
      <c r="B8" s="7" t="s">
        <v>49</v>
      </c>
      <c r="C8" t="s">
        <v>8</v>
      </c>
      <c r="D8">
        <v>3</v>
      </c>
      <c r="E8" t="s">
        <v>20</v>
      </c>
      <c r="F8" t="s">
        <v>250</v>
      </c>
      <c r="G8">
        <v>100</v>
      </c>
      <c r="H8" s="10">
        <v>100</v>
      </c>
      <c r="I8">
        <v>200</v>
      </c>
      <c r="J8" s="10">
        <v>200</v>
      </c>
      <c r="L8" s="10">
        <v>-1</v>
      </c>
      <c r="M8" t="s">
        <v>191</v>
      </c>
      <c r="N8" s="10">
        <v>-1</v>
      </c>
      <c r="O8">
        <v>8</v>
      </c>
      <c r="P8" s="10">
        <v>-1</v>
      </c>
      <c r="R8" s="10">
        <v>-1</v>
      </c>
      <c r="T8" s="10">
        <v>-1</v>
      </c>
      <c r="V8" s="10">
        <v>-1</v>
      </c>
      <c r="X8" s="10">
        <v>-1</v>
      </c>
      <c r="Z8" s="10">
        <v>-1</v>
      </c>
      <c r="AC8" s="10">
        <v>-1</v>
      </c>
      <c r="AE8" s="10">
        <v>-1</v>
      </c>
      <c r="AH8" s="10">
        <v>-1</v>
      </c>
      <c r="AJ8" s="10">
        <v>-1</v>
      </c>
      <c r="AM8" s="10">
        <v>-1</v>
      </c>
      <c r="AO8" s="10">
        <v>-1</v>
      </c>
      <c r="AR8" s="10">
        <v>-1</v>
      </c>
      <c r="AT8" s="10">
        <v>-1</v>
      </c>
      <c r="AW8" s="10">
        <v>-1</v>
      </c>
      <c r="AY8" s="10">
        <v>-1</v>
      </c>
      <c r="BB8" s="10">
        <v>-1</v>
      </c>
      <c r="BD8" s="10">
        <v>-1</v>
      </c>
      <c r="BG8" s="10">
        <v>-1</v>
      </c>
      <c r="BI8" s="10">
        <v>-1</v>
      </c>
      <c r="BL8" s="10">
        <v>-1</v>
      </c>
      <c r="BN8" s="10">
        <v>-1</v>
      </c>
      <c r="BQ8" s="10">
        <v>-1</v>
      </c>
      <c r="BS8" s="10">
        <v>-1</v>
      </c>
      <c r="BV8" s="10">
        <v>-1</v>
      </c>
      <c r="BX8" s="10">
        <v>-1</v>
      </c>
      <c r="CA8" s="10">
        <v>-1</v>
      </c>
      <c r="CC8" s="10">
        <v>-1</v>
      </c>
      <c r="CF8" s="10">
        <v>-1</v>
      </c>
      <c r="CH8" s="10">
        <v>-1</v>
      </c>
    </row>
    <row r="9" spans="1:87" x14ac:dyDescent="0.55000000000000004">
      <c r="A9">
        <v>4</v>
      </c>
      <c r="B9" t="s">
        <v>251</v>
      </c>
      <c r="D9">
        <v>4</v>
      </c>
      <c r="E9" t="s">
        <v>192</v>
      </c>
      <c r="F9" t="s">
        <v>193</v>
      </c>
      <c r="H9" s="10">
        <v>-1</v>
      </c>
      <c r="J9" s="10">
        <v>-1</v>
      </c>
      <c r="L9" s="10">
        <v>-1</v>
      </c>
      <c r="N9" s="10">
        <v>-1</v>
      </c>
      <c r="P9" s="10">
        <v>-1</v>
      </c>
      <c r="R9" s="10">
        <v>-1</v>
      </c>
      <c r="T9" s="10">
        <v>-1</v>
      </c>
      <c r="V9" s="10">
        <v>-1</v>
      </c>
      <c r="X9" s="10">
        <v>-1</v>
      </c>
      <c r="Z9" s="10">
        <v>-1</v>
      </c>
      <c r="AC9" s="10">
        <v>-1</v>
      </c>
      <c r="AE9" s="10">
        <v>-1</v>
      </c>
      <c r="AH9" s="10">
        <v>-1</v>
      </c>
      <c r="AJ9" s="10">
        <v>-1</v>
      </c>
      <c r="AM9" s="10">
        <v>-1</v>
      </c>
      <c r="AO9" s="10">
        <v>-1</v>
      </c>
      <c r="AR9" s="10">
        <v>-1</v>
      </c>
      <c r="AT9" s="10">
        <v>-1</v>
      </c>
      <c r="AW9" s="10">
        <v>-1</v>
      </c>
      <c r="AY9" s="10">
        <v>-1</v>
      </c>
      <c r="BB9" s="10">
        <v>-1</v>
      </c>
      <c r="BD9" s="10">
        <v>-1</v>
      </c>
      <c r="BG9" s="10">
        <v>-1</v>
      </c>
      <c r="BI9" s="10">
        <v>-1</v>
      </c>
      <c r="BL9" s="10">
        <v>-1</v>
      </c>
      <c r="BN9" s="10">
        <v>-1</v>
      </c>
      <c r="BQ9" s="10">
        <v>-1</v>
      </c>
      <c r="BS9" s="10">
        <v>-1</v>
      </c>
      <c r="BV9" s="10">
        <v>-1</v>
      </c>
      <c r="BX9" s="10">
        <v>-1</v>
      </c>
      <c r="CA9" s="10">
        <v>-1</v>
      </c>
      <c r="CC9" s="10">
        <v>-1</v>
      </c>
      <c r="CF9" s="10">
        <v>-1</v>
      </c>
      <c r="CH9" s="10">
        <v>-1</v>
      </c>
    </row>
    <row r="10" spans="1:87" x14ac:dyDescent="0.55000000000000004">
      <c r="A10">
        <v>5</v>
      </c>
      <c r="H10" s="10">
        <f t="shared" ref="H10:H55" si="0">IF(ISBLANK(G10),-1,G10)</f>
        <v>-1</v>
      </c>
      <c r="J10" s="10">
        <f t="shared" ref="J10:J55" si="1">IF(ISBLANK(I10),-1,I10)</f>
        <v>-1</v>
      </c>
      <c r="L10" s="10"/>
      <c r="N10" s="10"/>
      <c r="P10" s="10"/>
      <c r="R10" s="10"/>
      <c r="T10" s="10"/>
      <c r="V10" s="10"/>
      <c r="X10" s="10"/>
      <c r="Z10" s="10"/>
      <c r="AC10" s="10"/>
      <c r="AE10" s="10"/>
      <c r="AH10" s="10"/>
      <c r="AJ10" s="10"/>
      <c r="AM10" s="10"/>
      <c r="AO10" s="10"/>
      <c r="AR10" s="10"/>
      <c r="AT10" s="10"/>
      <c r="AW10" s="10"/>
      <c r="AY10" s="10"/>
      <c r="BB10" s="10"/>
      <c r="BD10" s="10"/>
      <c r="BG10" s="10"/>
      <c r="BI10" s="10"/>
      <c r="BL10" s="10"/>
      <c r="BN10" s="10"/>
      <c r="BQ10" s="10"/>
      <c r="BS10" s="10"/>
      <c r="BV10" s="10"/>
      <c r="BX10" s="10"/>
      <c r="CA10" s="10"/>
      <c r="CC10" s="10"/>
      <c r="CF10" s="10"/>
      <c r="CH10" s="10"/>
    </row>
    <row r="11" spans="1:87" x14ac:dyDescent="0.55000000000000004">
      <c r="A11">
        <v>6</v>
      </c>
      <c r="H11" s="10">
        <f t="shared" si="0"/>
        <v>-1</v>
      </c>
      <c r="J11" s="10">
        <f t="shared" si="1"/>
        <v>-1</v>
      </c>
      <c r="L11" s="10"/>
      <c r="N11" s="10"/>
      <c r="P11" s="10"/>
      <c r="R11" s="10"/>
      <c r="T11" s="10"/>
      <c r="V11" s="10"/>
      <c r="X11" s="10"/>
      <c r="Z11" s="10"/>
      <c r="AC11" s="10"/>
      <c r="AE11" s="10"/>
      <c r="AH11" s="10"/>
      <c r="AJ11" s="10"/>
      <c r="AM11" s="10"/>
      <c r="AO11" s="10"/>
      <c r="AR11" s="10"/>
      <c r="AT11" s="10"/>
      <c r="AW11" s="10"/>
      <c r="AY11" s="10"/>
      <c r="BB11" s="10"/>
      <c r="BD11" s="10"/>
      <c r="BG11" s="10"/>
      <c r="BI11" s="10"/>
      <c r="BL11" s="10"/>
      <c r="BN11" s="10"/>
      <c r="BQ11" s="10"/>
      <c r="BS11" s="10"/>
      <c r="BV11" s="10"/>
      <c r="BX11" s="10"/>
      <c r="CA11" s="10"/>
      <c r="CC11" s="10"/>
      <c r="CF11" s="10"/>
      <c r="CH11" s="10"/>
    </row>
    <row r="12" spans="1:87" x14ac:dyDescent="0.55000000000000004">
      <c r="A12">
        <v>7</v>
      </c>
      <c r="H12" s="10">
        <f t="shared" si="0"/>
        <v>-1</v>
      </c>
      <c r="J12" s="10">
        <f t="shared" si="1"/>
        <v>-1</v>
      </c>
      <c r="L12" s="10"/>
      <c r="N12" s="10"/>
      <c r="P12" s="10"/>
      <c r="R12" s="10"/>
      <c r="T12" s="10"/>
      <c r="V12" s="10"/>
      <c r="X12" s="10"/>
      <c r="Z12" s="10"/>
      <c r="AC12" s="10"/>
      <c r="AE12" s="10"/>
      <c r="AH12" s="10"/>
      <c r="AJ12" s="10"/>
      <c r="AM12" s="10"/>
      <c r="AO12" s="10"/>
      <c r="AR12" s="10"/>
      <c r="AT12" s="10"/>
      <c r="AW12" s="10"/>
      <c r="AY12" s="10"/>
      <c r="BB12" s="10"/>
      <c r="BD12" s="10"/>
      <c r="BG12" s="10"/>
      <c r="BI12" s="10"/>
      <c r="BL12" s="10"/>
      <c r="BN12" s="10"/>
      <c r="BQ12" s="10"/>
      <c r="BS12" s="10"/>
      <c r="BV12" s="10"/>
      <c r="BX12" s="10"/>
      <c r="CA12" s="10"/>
      <c r="CC12" s="10"/>
      <c r="CF12" s="10"/>
      <c r="CH12" s="10"/>
    </row>
    <row r="13" spans="1:87" x14ac:dyDescent="0.55000000000000004">
      <c r="A13">
        <v>8</v>
      </c>
      <c r="H13" s="10">
        <f t="shared" si="0"/>
        <v>-1</v>
      </c>
      <c r="J13" s="10">
        <f t="shared" si="1"/>
        <v>-1</v>
      </c>
      <c r="L13" s="10"/>
      <c r="N13" s="10"/>
      <c r="P13" s="10"/>
      <c r="R13" s="10"/>
      <c r="T13" s="10"/>
      <c r="V13" s="10"/>
      <c r="X13" s="10"/>
      <c r="Z13" s="10"/>
      <c r="AC13" s="10"/>
      <c r="AE13" s="10"/>
      <c r="AH13" s="10"/>
      <c r="AJ13" s="10"/>
      <c r="AM13" s="10"/>
      <c r="AO13" s="10"/>
      <c r="AR13" s="10"/>
      <c r="AT13" s="10"/>
      <c r="AW13" s="10"/>
      <c r="AY13" s="10"/>
      <c r="BB13" s="10"/>
      <c r="BD13" s="10"/>
      <c r="BG13" s="10"/>
      <c r="BI13" s="10"/>
      <c r="BL13" s="10"/>
      <c r="BN13" s="10"/>
      <c r="BQ13" s="10"/>
      <c r="BS13" s="10"/>
      <c r="BV13" s="10"/>
      <c r="BX13" s="10"/>
      <c r="CA13" s="10"/>
      <c r="CC13" s="10"/>
      <c r="CF13" s="10"/>
      <c r="CH13" s="10"/>
    </row>
    <row r="14" spans="1:87" x14ac:dyDescent="0.55000000000000004">
      <c r="A14">
        <v>9</v>
      </c>
      <c r="H14" s="10">
        <f t="shared" si="0"/>
        <v>-1</v>
      </c>
      <c r="J14" s="10">
        <f t="shared" si="1"/>
        <v>-1</v>
      </c>
      <c r="L14" s="10"/>
      <c r="N14" s="10"/>
      <c r="P14" s="10"/>
      <c r="R14" s="10"/>
      <c r="T14" s="10"/>
      <c r="V14" s="10"/>
      <c r="X14" s="10"/>
      <c r="Z14" s="10"/>
      <c r="AC14" s="10"/>
      <c r="AE14" s="10"/>
      <c r="AH14" s="10"/>
      <c r="AJ14" s="10"/>
      <c r="AM14" s="10"/>
      <c r="AO14" s="10"/>
      <c r="AR14" s="10"/>
      <c r="AT14" s="10"/>
      <c r="AW14" s="10"/>
      <c r="AY14" s="10"/>
      <c r="BB14" s="10"/>
      <c r="BD14" s="10"/>
      <c r="BG14" s="10"/>
      <c r="BI14" s="10"/>
      <c r="BL14" s="10"/>
      <c r="BN14" s="10"/>
      <c r="BQ14" s="10"/>
      <c r="BS14" s="10"/>
      <c r="BV14" s="10"/>
      <c r="BX14" s="10"/>
      <c r="CA14" s="10"/>
      <c r="CC14" s="10"/>
      <c r="CF14" s="10"/>
      <c r="CH14" s="10"/>
    </row>
    <row r="15" spans="1:87" x14ac:dyDescent="0.55000000000000004">
      <c r="A15">
        <v>10</v>
      </c>
      <c r="H15" s="10">
        <f t="shared" si="0"/>
        <v>-1</v>
      </c>
      <c r="J15" s="10">
        <f t="shared" si="1"/>
        <v>-1</v>
      </c>
      <c r="L15" s="10"/>
      <c r="N15" s="10"/>
      <c r="P15" s="10"/>
      <c r="R15" s="10"/>
      <c r="T15" s="10"/>
      <c r="V15" s="10"/>
      <c r="X15" s="10"/>
      <c r="Z15" s="10"/>
      <c r="AC15" s="10"/>
      <c r="AE15" s="10"/>
      <c r="AH15" s="10"/>
      <c r="AJ15" s="10"/>
      <c r="AM15" s="10"/>
      <c r="AO15" s="10"/>
      <c r="AR15" s="10"/>
      <c r="AT15" s="10"/>
      <c r="AW15" s="10"/>
      <c r="AY15" s="10"/>
      <c r="BB15" s="10"/>
      <c r="BD15" s="10"/>
      <c r="BG15" s="10"/>
      <c r="BI15" s="10"/>
      <c r="BL15" s="10"/>
      <c r="BN15" s="10"/>
      <c r="BQ15" s="10"/>
      <c r="BS15" s="10"/>
      <c r="BV15" s="10"/>
      <c r="BX15" s="10"/>
      <c r="CA15" s="10"/>
      <c r="CC15" s="10"/>
      <c r="CF15" s="10"/>
      <c r="CH15" s="10"/>
    </row>
    <row r="16" spans="1:87" x14ac:dyDescent="0.55000000000000004">
      <c r="A16">
        <v>11</v>
      </c>
      <c r="H16" s="10">
        <f t="shared" si="0"/>
        <v>-1</v>
      </c>
      <c r="J16" s="10">
        <f t="shared" si="1"/>
        <v>-1</v>
      </c>
      <c r="L16" s="10"/>
      <c r="N16" s="10"/>
      <c r="P16" s="10"/>
      <c r="R16" s="10"/>
      <c r="T16" s="10"/>
      <c r="V16" s="10"/>
      <c r="X16" s="10"/>
      <c r="Z16" s="10"/>
      <c r="AC16" s="10"/>
      <c r="AE16" s="10"/>
      <c r="AH16" s="10"/>
      <c r="AJ16" s="10"/>
      <c r="AM16" s="10"/>
      <c r="AO16" s="10"/>
      <c r="AR16" s="10"/>
      <c r="AT16" s="10"/>
      <c r="AW16" s="10"/>
      <c r="AY16" s="10"/>
      <c r="BB16" s="10"/>
      <c r="BD16" s="10"/>
      <c r="BG16" s="10"/>
      <c r="BI16" s="10"/>
      <c r="BL16" s="10"/>
      <c r="BN16" s="10"/>
      <c r="BQ16" s="10"/>
      <c r="BS16" s="10"/>
      <c r="BV16" s="10"/>
      <c r="BX16" s="10"/>
      <c r="CA16" s="10"/>
      <c r="CC16" s="10"/>
      <c r="CF16" s="10"/>
      <c r="CH16" s="10"/>
    </row>
    <row r="17" spans="1:86" x14ac:dyDescent="0.55000000000000004">
      <c r="A17">
        <v>12</v>
      </c>
      <c r="B17" s="7"/>
      <c r="H17" s="10">
        <f t="shared" si="0"/>
        <v>-1</v>
      </c>
      <c r="J17" s="10">
        <f t="shared" si="1"/>
        <v>-1</v>
      </c>
      <c r="L17" s="10"/>
      <c r="N17" s="10"/>
      <c r="P17" s="10"/>
      <c r="R17" s="10"/>
      <c r="T17" s="10"/>
      <c r="V17" s="10"/>
      <c r="X17" s="10"/>
      <c r="Z17" s="10"/>
      <c r="AC17" s="10"/>
      <c r="AE17" s="10"/>
      <c r="AH17" s="10"/>
      <c r="AJ17" s="10"/>
      <c r="AM17" s="10"/>
      <c r="AO17" s="10"/>
      <c r="AR17" s="10"/>
      <c r="AT17" s="10"/>
      <c r="AW17" s="10"/>
      <c r="AY17" s="10"/>
      <c r="BB17" s="10"/>
      <c r="BD17" s="10"/>
      <c r="BG17" s="10"/>
      <c r="BI17" s="10"/>
      <c r="BL17" s="10"/>
      <c r="BN17" s="10"/>
      <c r="BQ17" s="10"/>
      <c r="BS17" s="10"/>
      <c r="BV17" s="10"/>
      <c r="BX17" s="10"/>
      <c r="CA17" s="10"/>
      <c r="CC17" s="10"/>
      <c r="CF17" s="10"/>
      <c r="CH17" s="10"/>
    </row>
    <row r="18" spans="1:86" x14ac:dyDescent="0.55000000000000004">
      <c r="A18">
        <v>13</v>
      </c>
      <c r="B18" s="7"/>
      <c r="H18" s="10">
        <f t="shared" si="0"/>
        <v>-1</v>
      </c>
      <c r="J18" s="10">
        <f t="shared" si="1"/>
        <v>-1</v>
      </c>
      <c r="L18" s="10"/>
      <c r="N18" s="10"/>
      <c r="P18" s="10"/>
      <c r="R18" s="10"/>
      <c r="T18" s="10"/>
      <c r="V18" s="10"/>
      <c r="X18" s="10"/>
      <c r="Z18" s="10"/>
      <c r="AC18" s="10"/>
      <c r="AE18" s="10"/>
      <c r="AH18" s="10"/>
      <c r="AJ18" s="10"/>
      <c r="AM18" s="10"/>
      <c r="AO18" s="10"/>
      <c r="AR18" s="10"/>
      <c r="AT18" s="10"/>
      <c r="AW18" s="10"/>
      <c r="AY18" s="10"/>
      <c r="BB18" s="10"/>
      <c r="BD18" s="10"/>
      <c r="BG18" s="10"/>
      <c r="BI18" s="10"/>
      <c r="BL18" s="10"/>
      <c r="BN18" s="10"/>
      <c r="BQ18" s="10"/>
      <c r="BS18" s="10"/>
      <c r="BV18" s="10"/>
      <c r="BX18" s="10"/>
      <c r="CA18" s="10"/>
      <c r="CC18" s="10"/>
      <c r="CF18" s="10"/>
      <c r="CH18" s="10"/>
    </row>
    <row r="19" spans="1:86" x14ac:dyDescent="0.55000000000000004">
      <c r="A19">
        <v>14</v>
      </c>
      <c r="H19" s="10">
        <f t="shared" si="0"/>
        <v>-1</v>
      </c>
      <c r="J19" s="10">
        <f t="shared" si="1"/>
        <v>-1</v>
      </c>
      <c r="L19" s="10"/>
      <c r="N19" s="10"/>
      <c r="P19" s="10"/>
      <c r="R19" s="10"/>
      <c r="T19" s="10"/>
      <c r="V19" s="10"/>
      <c r="X19" s="10"/>
      <c r="Z19" s="10"/>
      <c r="AC19" s="10"/>
      <c r="AE19" s="10"/>
      <c r="AH19" s="10"/>
      <c r="AJ19" s="10"/>
      <c r="AM19" s="10"/>
      <c r="AO19" s="10"/>
      <c r="AR19" s="10"/>
      <c r="AT19" s="10"/>
      <c r="AW19" s="10"/>
      <c r="AY19" s="10"/>
      <c r="BB19" s="10"/>
      <c r="BD19" s="10"/>
      <c r="BG19" s="10"/>
      <c r="BI19" s="10"/>
      <c r="BL19" s="10"/>
      <c r="BN19" s="10"/>
      <c r="BQ19" s="10"/>
      <c r="BS19" s="10"/>
      <c r="BV19" s="10"/>
      <c r="BX19" s="10"/>
      <c r="CA19" s="10"/>
      <c r="CC19" s="10"/>
      <c r="CF19" s="10"/>
      <c r="CH19" s="10"/>
    </row>
    <row r="20" spans="1:86" x14ac:dyDescent="0.55000000000000004">
      <c r="A20">
        <v>15</v>
      </c>
      <c r="H20" s="10">
        <f t="shared" si="0"/>
        <v>-1</v>
      </c>
      <c r="J20" s="10">
        <f t="shared" si="1"/>
        <v>-1</v>
      </c>
      <c r="L20" s="10"/>
      <c r="N20" s="10"/>
      <c r="P20" s="10"/>
      <c r="R20" s="10"/>
      <c r="T20" s="10"/>
      <c r="V20" s="10"/>
      <c r="X20" s="10"/>
      <c r="Z20" s="10"/>
      <c r="AC20" s="10"/>
      <c r="AE20" s="10"/>
      <c r="AH20" s="10"/>
      <c r="AJ20" s="10"/>
      <c r="AM20" s="10"/>
      <c r="AO20" s="10"/>
      <c r="AR20" s="10"/>
      <c r="AT20" s="10"/>
      <c r="AW20" s="10"/>
      <c r="AY20" s="10"/>
      <c r="BB20" s="10"/>
      <c r="BD20" s="10"/>
      <c r="BG20" s="10"/>
      <c r="BI20" s="10"/>
      <c r="BL20" s="10"/>
      <c r="BN20" s="10"/>
      <c r="BQ20" s="10"/>
      <c r="BS20" s="10"/>
      <c r="BV20" s="10"/>
      <c r="BX20" s="10"/>
      <c r="CA20" s="10"/>
      <c r="CC20" s="10"/>
      <c r="CF20" s="10"/>
      <c r="CH20" s="10"/>
    </row>
    <row r="21" spans="1:86" x14ac:dyDescent="0.55000000000000004">
      <c r="A21">
        <v>16</v>
      </c>
      <c r="H21" s="10">
        <f t="shared" si="0"/>
        <v>-1</v>
      </c>
      <c r="J21" s="10">
        <f t="shared" si="1"/>
        <v>-1</v>
      </c>
      <c r="L21" s="10"/>
      <c r="N21" s="10"/>
      <c r="P21" s="10"/>
      <c r="R21" s="10"/>
      <c r="T21" s="10"/>
      <c r="V21" s="10"/>
      <c r="X21" s="10"/>
      <c r="Z21" s="10"/>
      <c r="AC21" s="10"/>
      <c r="AE21" s="10"/>
      <c r="AH21" s="10"/>
      <c r="AJ21" s="10"/>
      <c r="AM21" s="10"/>
      <c r="AO21" s="10"/>
      <c r="AR21" s="10"/>
      <c r="AT21" s="10"/>
      <c r="AW21" s="10"/>
      <c r="AY21" s="10"/>
      <c r="BB21" s="10"/>
      <c r="BD21" s="10"/>
      <c r="BG21" s="10"/>
      <c r="BI21" s="10"/>
      <c r="BL21" s="10"/>
      <c r="BN21" s="10"/>
      <c r="BQ21" s="10"/>
      <c r="BS21" s="10"/>
      <c r="BV21" s="10"/>
      <c r="BX21" s="10"/>
      <c r="CA21" s="10"/>
      <c r="CC21" s="10"/>
      <c r="CF21" s="10"/>
      <c r="CH21" s="10"/>
    </row>
    <row r="22" spans="1:86" x14ac:dyDescent="0.55000000000000004">
      <c r="A22">
        <v>17</v>
      </c>
      <c r="H22" s="10">
        <f t="shared" si="0"/>
        <v>-1</v>
      </c>
      <c r="J22" s="10">
        <f t="shared" si="1"/>
        <v>-1</v>
      </c>
      <c r="L22" s="10"/>
      <c r="N22" s="10"/>
      <c r="P22" s="10"/>
      <c r="R22" s="10"/>
      <c r="T22" s="10"/>
      <c r="V22" s="10"/>
      <c r="X22" s="10"/>
      <c r="Z22" s="10"/>
      <c r="AC22" s="10"/>
      <c r="AE22" s="10"/>
      <c r="AH22" s="10"/>
      <c r="AJ22" s="10"/>
      <c r="AM22" s="10"/>
      <c r="AO22" s="10"/>
      <c r="AR22" s="10"/>
      <c r="AT22" s="10"/>
      <c r="AW22" s="10"/>
      <c r="AY22" s="10"/>
      <c r="BB22" s="10"/>
      <c r="BD22" s="10"/>
      <c r="BG22" s="10"/>
      <c r="BI22" s="10"/>
      <c r="BL22" s="10"/>
      <c r="BN22" s="10"/>
      <c r="BQ22" s="10"/>
      <c r="BS22" s="10"/>
      <c r="BV22" s="10"/>
      <c r="BX22" s="10"/>
      <c r="CA22" s="10"/>
      <c r="CC22" s="10"/>
      <c r="CF22" s="10"/>
      <c r="CH22" s="10"/>
    </row>
    <row r="23" spans="1:86" x14ac:dyDescent="0.55000000000000004">
      <c r="A23">
        <v>18</v>
      </c>
      <c r="H23" s="10">
        <f t="shared" si="0"/>
        <v>-1</v>
      </c>
      <c r="J23" s="10">
        <f t="shared" si="1"/>
        <v>-1</v>
      </c>
      <c r="L23" s="10"/>
      <c r="N23" s="10"/>
      <c r="P23" s="10"/>
      <c r="R23" s="10"/>
      <c r="T23" s="10"/>
      <c r="V23" s="10"/>
      <c r="X23" s="10"/>
      <c r="Z23" s="10"/>
      <c r="AC23" s="10"/>
      <c r="AE23" s="10"/>
      <c r="AH23" s="10"/>
      <c r="AJ23" s="10"/>
      <c r="AM23" s="10"/>
      <c r="AO23" s="10"/>
      <c r="AR23" s="10"/>
      <c r="AT23" s="10"/>
      <c r="AW23" s="10"/>
      <c r="AY23" s="10"/>
      <c r="BB23" s="10"/>
      <c r="BD23" s="10"/>
      <c r="BG23" s="10"/>
      <c r="BI23" s="10"/>
      <c r="BL23" s="10"/>
      <c r="BN23" s="10"/>
      <c r="BQ23" s="10"/>
      <c r="BS23" s="10"/>
      <c r="BV23" s="10"/>
      <c r="BX23" s="10"/>
      <c r="CA23" s="10"/>
      <c r="CC23" s="10"/>
      <c r="CF23" s="10"/>
      <c r="CH23" s="10"/>
    </row>
    <row r="24" spans="1:86" x14ac:dyDescent="0.55000000000000004">
      <c r="A24">
        <v>19</v>
      </c>
      <c r="H24" s="10">
        <f t="shared" si="0"/>
        <v>-1</v>
      </c>
      <c r="J24" s="10">
        <f t="shared" si="1"/>
        <v>-1</v>
      </c>
      <c r="L24" s="10"/>
      <c r="N24" s="10"/>
      <c r="P24" s="10"/>
      <c r="R24" s="10"/>
      <c r="T24" s="10"/>
      <c r="V24" s="10"/>
      <c r="X24" s="10"/>
      <c r="Z24" s="10"/>
      <c r="AC24" s="10"/>
      <c r="AE24" s="10"/>
      <c r="AH24" s="10"/>
      <c r="AJ24" s="10"/>
      <c r="AM24" s="10"/>
      <c r="AO24" s="10"/>
      <c r="AR24" s="10"/>
      <c r="AT24" s="10"/>
      <c r="AW24" s="10"/>
      <c r="AY24" s="10"/>
      <c r="BB24" s="10"/>
      <c r="BD24" s="10"/>
      <c r="BG24" s="10"/>
      <c r="BI24" s="10"/>
      <c r="BL24" s="10"/>
      <c r="BN24" s="10"/>
      <c r="BQ24" s="10"/>
      <c r="BS24" s="10"/>
      <c r="BV24" s="10"/>
      <c r="BX24" s="10"/>
      <c r="CA24" s="10"/>
      <c r="CC24" s="10"/>
      <c r="CF24" s="10"/>
      <c r="CH24" s="10"/>
    </row>
    <row r="25" spans="1:86" x14ac:dyDescent="0.55000000000000004">
      <c r="A25">
        <v>20</v>
      </c>
      <c r="H25" s="10">
        <f t="shared" si="0"/>
        <v>-1</v>
      </c>
      <c r="J25" s="10">
        <f t="shared" si="1"/>
        <v>-1</v>
      </c>
      <c r="L25" s="10"/>
      <c r="N25" s="10"/>
      <c r="P25" s="10"/>
      <c r="R25" s="10"/>
      <c r="T25" s="10"/>
      <c r="V25" s="10"/>
      <c r="X25" s="10"/>
      <c r="Z25" s="10"/>
      <c r="AC25" s="10"/>
      <c r="AE25" s="10"/>
      <c r="AH25" s="10"/>
      <c r="AJ25" s="10"/>
      <c r="AM25" s="10"/>
      <c r="AO25" s="10"/>
      <c r="AR25" s="10"/>
      <c r="AT25" s="10"/>
      <c r="AW25" s="10"/>
      <c r="AY25" s="10"/>
      <c r="BB25" s="10"/>
      <c r="BD25" s="10"/>
      <c r="BG25" s="10"/>
      <c r="BI25" s="10"/>
      <c r="BL25" s="10"/>
      <c r="BN25" s="10"/>
      <c r="BQ25" s="10"/>
      <c r="BS25" s="10"/>
      <c r="BV25" s="10"/>
      <c r="BX25" s="10"/>
      <c r="CA25" s="10"/>
      <c r="CC25" s="10"/>
      <c r="CF25" s="10"/>
      <c r="CH25" s="10"/>
    </row>
    <row r="26" spans="1:86" x14ac:dyDescent="0.55000000000000004">
      <c r="A26">
        <v>21</v>
      </c>
      <c r="H26" s="10">
        <f t="shared" si="0"/>
        <v>-1</v>
      </c>
      <c r="J26" s="10">
        <f t="shared" si="1"/>
        <v>-1</v>
      </c>
      <c r="L26" s="10"/>
      <c r="N26" s="10"/>
      <c r="P26" s="10"/>
      <c r="R26" s="10"/>
      <c r="T26" s="10"/>
      <c r="V26" s="10"/>
      <c r="X26" s="10"/>
      <c r="Z26" s="10"/>
      <c r="AC26" s="10"/>
      <c r="AE26" s="10"/>
      <c r="AH26" s="10"/>
      <c r="AJ26" s="10"/>
      <c r="AM26" s="10"/>
      <c r="AO26" s="10"/>
      <c r="AR26" s="10"/>
      <c r="AT26" s="10"/>
      <c r="AW26" s="10"/>
      <c r="AY26" s="10"/>
      <c r="BB26" s="10"/>
      <c r="BD26" s="10"/>
      <c r="BG26" s="10"/>
      <c r="BI26" s="10"/>
      <c r="BL26" s="10"/>
      <c r="BN26" s="10"/>
      <c r="BQ26" s="10"/>
      <c r="BS26" s="10"/>
      <c r="BV26" s="10"/>
      <c r="BX26" s="10"/>
      <c r="CA26" s="10"/>
      <c r="CC26" s="10"/>
      <c r="CF26" s="10"/>
      <c r="CH26" s="10"/>
    </row>
    <row r="27" spans="1:86" x14ac:dyDescent="0.55000000000000004">
      <c r="A27">
        <v>22</v>
      </c>
      <c r="H27" s="10">
        <f t="shared" si="0"/>
        <v>-1</v>
      </c>
      <c r="J27" s="10">
        <f t="shared" si="1"/>
        <v>-1</v>
      </c>
      <c r="L27" s="10"/>
      <c r="N27" s="10"/>
      <c r="P27" s="10"/>
      <c r="R27" s="10"/>
      <c r="T27" s="10"/>
      <c r="V27" s="10"/>
      <c r="X27" s="10"/>
      <c r="Z27" s="10"/>
      <c r="AC27" s="10"/>
      <c r="AE27" s="10"/>
      <c r="AH27" s="10"/>
      <c r="AJ27" s="10"/>
      <c r="AM27" s="10"/>
      <c r="AO27" s="10"/>
      <c r="AR27" s="10"/>
      <c r="AT27" s="10"/>
      <c r="AW27" s="10"/>
      <c r="AY27" s="10"/>
      <c r="BB27" s="10"/>
      <c r="BD27" s="10"/>
      <c r="BG27" s="10"/>
      <c r="BI27" s="10"/>
      <c r="BL27" s="10"/>
      <c r="BN27" s="10"/>
      <c r="BQ27" s="10"/>
      <c r="BS27" s="10"/>
      <c r="BV27" s="10"/>
      <c r="BX27" s="10"/>
      <c r="CA27" s="10"/>
      <c r="CC27" s="10"/>
      <c r="CF27" s="10"/>
      <c r="CH27" s="10"/>
    </row>
    <row r="28" spans="1:86" x14ac:dyDescent="0.55000000000000004">
      <c r="A28">
        <v>23</v>
      </c>
      <c r="H28" s="10">
        <f t="shared" si="0"/>
        <v>-1</v>
      </c>
      <c r="J28" s="10">
        <f t="shared" si="1"/>
        <v>-1</v>
      </c>
      <c r="L28" s="10"/>
      <c r="N28" s="10"/>
      <c r="P28" s="10"/>
      <c r="R28" s="10"/>
      <c r="T28" s="10"/>
      <c r="V28" s="10"/>
      <c r="X28" s="10"/>
      <c r="Z28" s="10"/>
      <c r="AC28" s="10"/>
      <c r="AE28" s="10"/>
      <c r="AH28" s="10"/>
      <c r="AJ28" s="10"/>
      <c r="AM28" s="10"/>
      <c r="AO28" s="10"/>
      <c r="AR28" s="10"/>
      <c r="AT28" s="10"/>
      <c r="AW28" s="10"/>
      <c r="AY28" s="10"/>
      <c r="BB28" s="10"/>
      <c r="BD28" s="10"/>
      <c r="BG28" s="10"/>
      <c r="BI28" s="10"/>
      <c r="BL28" s="10"/>
      <c r="BN28" s="10"/>
      <c r="BQ28" s="10"/>
      <c r="BS28" s="10"/>
      <c r="BV28" s="10"/>
      <c r="BX28" s="10"/>
      <c r="CA28" s="10"/>
      <c r="CC28" s="10"/>
      <c r="CF28" s="10"/>
      <c r="CH28" s="10"/>
    </row>
    <row r="29" spans="1:86" x14ac:dyDescent="0.55000000000000004">
      <c r="A29">
        <v>24</v>
      </c>
      <c r="H29" s="10">
        <f t="shared" si="0"/>
        <v>-1</v>
      </c>
      <c r="J29" s="10">
        <f t="shared" si="1"/>
        <v>-1</v>
      </c>
      <c r="L29" s="10"/>
      <c r="N29" s="10"/>
      <c r="P29" s="10"/>
      <c r="R29" s="10"/>
      <c r="T29" s="10"/>
      <c r="V29" s="10"/>
      <c r="X29" s="10"/>
      <c r="Z29" s="10"/>
      <c r="AC29" s="10"/>
      <c r="AE29" s="10"/>
      <c r="AH29" s="10"/>
      <c r="AJ29" s="10"/>
      <c r="AM29" s="10"/>
      <c r="AO29" s="10"/>
      <c r="AR29" s="10"/>
      <c r="AT29" s="10"/>
      <c r="AW29" s="10"/>
      <c r="AY29" s="10"/>
      <c r="BB29" s="10"/>
      <c r="BD29" s="10"/>
      <c r="BG29" s="10"/>
      <c r="BI29" s="10"/>
      <c r="BL29" s="10"/>
      <c r="BN29" s="10"/>
      <c r="BQ29" s="10"/>
      <c r="BS29" s="10"/>
      <c r="BV29" s="10"/>
      <c r="BX29" s="10"/>
      <c r="CA29" s="10"/>
      <c r="CC29" s="10"/>
      <c r="CF29" s="10"/>
      <c r="CH29" s="10"/>
    </row>
    <row r="30" spans="1:86" x14ac:dyDescent="0.55000000000000004">
      <c r="A30">
        <v>25</v>
      </c>
      <c r="H30" s="10">
        <f t="shared" si="0"/>
        <v>-1</v>
      </c>
      <c r="J30" s="10">
        <f t="shared" si="1"/>
        <v>-1</v>
      </c>
      <c r="L30" s="10"/>
      <c r="N30" s="10"/>
      <c r="P30" s="10"/>
      <c r="R30" s="10"/>
      <c r="T30" s="10"/>
      <c r="V30" s="10"/>
      <c r="X30" s="10"/>
      <c r="Z30" s="10"/>
      <c r="AC30" s="10"/>
      <c r="AE30" s="10"/>
      <c r="AH30" s="10"/>
      <c r="AJ30" s="10"/>
      <c r="AM30" s="10"/>
      <c r="AO30" s="10"/>
      <c r="AR30" s="10"/>
      <c r="AT30" s="10"/>
      <c r="AW30" s="10"/>
      <c r="AY30" s="10"/>
      <c r="BB30" s="10"/>
      <c r="BD30" s="10"/>
      <c r="BG30" s="10"/>
      <c r="BI30" s="10"/>
      <c r="BL30" s="10"/>
      <c r="BN30" s="10"/>
      <c r="BQ30" s="10"/>
      <c r="BS30" s="10"/>
      <c r="BV30" s="10"/>
      <c r="BX30" s="10"/>
      <c r="CA30" s="10"/>
      <c r="CC30" s="10"/>
      <c r="CF30" s="10"/>
      <c r="CH30" s="10"/>
    </row>
    <row r="31" spans="1:86" x14ac:dyDescent="0.55000000000000004">
      <c r="A31">
        <v>26</v>
      </c>
      <c r="H31" s="10">
        <f t="shared" si="0"/>
        <v>-1</v>
      </c>
      <c r="J31" s="10">
        <f t="shared" si="1"/>
        <v>-1</v>
      </c>
      <c r="L31" s="10"/>
      <c r="N31" s="10"/>
      <c r="P31" s="10"/>
      <c r="R31" s="10"/>
      <c r="T31" s="10"/>
      <c r="V31" s="10"/>
      <c r="X31" s="10"/>
      <c r="Z31" s="10"/>
      <c r="AC31" s="10"/>
      <c r="AE31" s="10"/>
      <c r="AH31" s="10"/>
      <c r="AJ31" s="10"/>
      <c r="AM31" s="10"/>
      <c r="AO31" s="10"/>
      <c r="AR31" s="10"/>
      <c r="AT31" s="10"/>
      <c r="AW31" s="10"/>
      <c r="AY31" s="10"/>
      <c r="BB31" s="10"/>
      <c r="BD31" s="10"/>
      <c r="BG31" s="10"/>
      <c r="BI31" s="10"/>
      <c r="BL31" s="10"/>
      <c r="BN31" s="10"/>
      <c r="BQ31" s="10"/>
      <c r="BS31" s="10"/>
      <c r="BV31" s="10"/>
      <c r="BX31" s="10"/>
      <c r="CA31" s="10"/>
      <c r="CC31" s="10"/>
      <c r="CF31" s="10"/>
      <c r="CH31" s="10"/>
    </row>
    <row r="32" spans="1:86" x14ac:dyDescent="0.55000000000000004">
      <c r="A32">
        <v>27</v>
      </c>
      <c r="H32" s="10">
        <f t="shared" si="0"/>
        <v>-1</v>
      </c>
      <c r="J32" s="10">
        <f t="shared" si="1"/>
        <v>-1</v>
      </c>
      <c r="L32" s="10"/>
      <c r="N32" s="10"/>
      <c r="P32" s="10"/>
      <c r="R32" s="10"/>
      <c r="T32" s="10"/>
      <c r="V32" s="10"/>
      <c r="X32" s="10"/>
      <c r="Z32" s="10"/>
      <c r="AC32" s="10"/>
      <c r="AE32" s="10"/>
      <c r="AH32" s="10"/>
      <c r="AJ32" s="10"/>
      <c r="AM32" s="10"/>
      <c r="AO32" s="10"/>
      <c r="AR32" s="10"/>
      <c r="AT32" s="10"/>
      <c r="AW32" s="10"/>
      <c r="AY32" s="10"/>
      <c r="BB32" s="10"/>
      <c r="BD32" s="10"/>
      <c r="BG32" s="10"/>
      <c r="BI32" s="10"/>
      <c r="BL32" s="10"/>
      <c r="BN32" s="10"/>
      <c r="BQ32" s="10"/>
      <c r="BS32" s="10"/>
      <c r="BV32" s="10"/>
      <c r="BX32" s="10"/>
      <c r="CA32" s="10"/>
      <c r="CC32" s="10"/>
      <c r="CF32" s="10"/>
      <c r="CH32" s="10"/>
    </row>
    <row r="33" spans="1:86" x14ac:dyDescent="0.55000000000000004">
      <c r="A33">
        <v>28</v>
      </c>
      <c r="H33" s="10">
        <f t="shared" si="0"/>
        <v>-1</v>
      </c>
      <c r="J33" s="10">
        <f t="shared" si="1"/>
        <v>-1</v>
      </c>
      <c r="L33" s="10"/>
      <c r="N33" s="10"/>
      <c r="P33" s="10"/>
      <c r="R33" s="10"/>
      <c r="T33" s="10"/>
      <c r="V33" s="10"/>
      <c r="X33" s="10"/>
      <c r="Z33" s="10"/>
      <c r="AC33" s="10"/>
      <c r="AE33" s="10"/>
      <c r="AH33" s="10"/>
      <c r="AJ33" s="10"/>
      <c r="AM33" s="10"/>
      <c r="AO33" s="10"/>
      <c r="AR33" s="10"/>
      <c r="AT33" s="10"/>
      <c r="AW33" s="10"/>
      <c r="AY33" s="10"/>
      <c r="BB33" s="10"/>
      <c r="BD33" s="10"/>
      <c r="BG33" s="10"/>
      <c r="BI33" s="10"/>
      <c r="BL33" s="10"/>
      <c r="BN33" s="10"/>
      <c r="BQ33" s="10"/>
      <c r="BS33" s="10"/>
      <c r="BV33" s="10"/>
      <c r="BX33" s="10"/>
      <c r="CA33" s="10"/>
      <c r="CC33" s="10"/>
      <c r="CF33" s="10"/>
      <c r="CH33" s="10"/>
    </row>
    <row r="34" spans="1:86" x14ac:dyDescent="0.55000000000000004">
      <c r="A34">
        <v>29</v>
      </c>
      <c r="H34" s="10">
        <f t="shared" si="0"/>
        <v>-1</v>
      </c>
      <c r="J34" s="10">
        <f t="shared" si="1"/>
        <v>-1</v>
      </c>
      <c r="L34" s="10"/>
      <c r="N34" s="10"/>
      <c r="P34" s="10"/>
      <c r="R34" s="10"/>
      <c r="T34" s="10"/>
      <c r="V34" s="10"/>
      <c r="X34" s="10"/>
      <c r="Z34" s="10"/>
      <c r="AC34" s="10"/>
      <c r="AE34" s="10"/>
      <c r="AH34" s="10"/>
      <c r="AJ34" s="10"/>
      <c r="AM34" s="10"/>
      <c r="AO34" s="10"/>
      <c r="AR34" s="10"/>
      <c r="AT34" s="10"/>
      <c r="AW34" s="10"/>
      <c r="AY34" s="10"/>
      <c r="BB34" s="10"/>
      <c r="BD34" s="10"/>
      <c r="BG34" s="10"/>
      <c r="BI34" s="10"/>
      <c r="BL34" s="10"/>
      <c r="BN34" s="10"/>
      <c r="BQ34" s="10"/>
      <c r="BS34" s="10"/>
      <c r="BV34" s="10"/>
      <c r="BX34" s="10"/>
      <c r="CA34" s="10"/>
      <c r="CC34" s="10"/>
      <c r="CF34" s="10"/>
      <c r="CH34" s="10"/>
    </row>
    <row r="35" spans="1:86" x14ac:dyDescent="0.55000000000000004">
      <c r="A35">
        <v>30</v>
      </c>
      <c r="H35" s="10">
        <f t="shared" si="0"/>
        <v>-1</v>
      </c>
      <c r="J35" s="10">
        <f t="shared" si="1"/>
        <v>-1</v>
      </c>
      <c r="L35" s="10"/>
      <c r="N35" s="10"/>
      <c r="P35" s="10"/>
      <c r="R35" s="10"/>
      <c r="T35" s="10"/>
      <c r="V35" s="10"/>
      <c r="X35" s="10"/>
      <c r="Z35" s="10"/>
      <c r="AC35" s="10"/>
      <c r="AE35" s="10"/>
      <c r="AH35" s="10"/>
      <c r="AJ35" s="10"/>
      <c r="AM35" s="10"/>
      <c r="AO35" s="10"/>
      <c r="AR35" s="10"/>
      <c r="AT35" s="10"/>
      <c r="AW35" s="10"/>
      <c r="AY35" s="10"/>
      <c r="BB35" s="10"/>
      <c r="BD35" s="10"/>
      <c r="BG35" s="10"/>
      <c r="BI35" s="10"/>
      <c r="BL35" s="10"/>
      <c r="BN35" s="10"/>
      <c r="BQ35" s="10"/>
      <c r="BS35" s="10"/>
      <c r="BV35" s="10"/>
      <c r="BX35" s="10"/>
      <c r="CA35" s="10"/>
      <c r="CC35" s="10"/>
      <c r="CF35" s="10"/>
      <c r="CH35" s="10"/>
    </row>
    <row r="36" spans="1:86" x14ac:dyDescent="0.55000000000000004">
      <c r="A36">
        <v>31</v>
      </c>
      <c r="H36" s="10">
        <f t="shared" si="0"/>
        <v>-1</v>
      </c>
      <c r="J36" s="10">
        <f t="shared" si="1"/>
        <v>-1</v>
      </c>
      <c r="L36" s="10"/>
      <c r="N36" s="10"/>
      <c r="P36" s="10"/>
      <c r="R36" s="10"/>
      <c r="T36" s="10"/>
      <c r="V36" s="10"/>
      <c r="X36" s="10"/>
      <c r="Z36" s="10"/>
      <c r="AC36" s="10"/>
      <c r="AE36" s="10"/>
      <c r="AH36" s="10"/>
      <c r="AJ36" s="10"/>
      <c r="AM36" s="10"/>
      <c r="AO36" s="10"/>
      <c r="AR36" s="10"/>
      <c r="AT36" s="10"/>
      <c r="AW36" s="10"/>
      <c r="AY36" s="10"/>
      <c r="BB36" s="10"/>
      <c r="BD36" s="10"/>
      <c r="BG36" s="10"/>
      <c r="BI36" s="10"/>
      <c r="BL36" s="10"/>
      <c r="BN36" s="10"/>
      <c r="BQ36" s="10"/>
      <c r="BS36" s="10"/>
      <c r="BV36" s="10"/>
      <c r="BX36" s="10"/>
      <c r="CA36" s="10"/>
      <c r="CC36" s="10"/>
      <c r="CF36" s="10"/>
      <c r="CH36" s="10"/>
    </row>
    <row r="37" spans="1:86" x14ac:dyDescent="0.55000000000000004">
      <c r="A37">
        <v>32</v>
      </c>
      <c r="H37" s="10">
        <f t="shared" si="0"/>
        <v>-1</v>
      </c>
      <c r="J37" s="10">
        <f t="shared" si="1"/>
        <v>-1</v>
      </c>
      <c r="L37" s="10"/>
      <c r="N37" s="10"/>
      <c r="P37" s="10"/>
      <c r="R37" s="10"/>
      <c r="T37" s="10"/>
      <c r="V37" s="10"/>
      <c r="X37" s="10"/>
      <c r="Z37" s="10"/>
      <c r="AC37" s="10"/>
      <c r="AE37" s="10"/>
      <c r="AH37" s="10"/>
      <c r="AJ37" s="10"/>
      <c r="AM37" s="10"/>
      <c r="AO37" s="10"/>
      <c r="AR37" s="10"/>
      <c r="AT37" s="10"/>
      <c r="AW37" s="10"/>
      <c r="AY37" s="10"/>
      <c r="BB37" s="10"/>
      <c r="BD37" s="10"/>
      <c r="BG37" s="10"/>
      <c r="BI37" s="10"/>
      <c r="BL37" s="10"/>
      <c r="BN37" s="10"/>
      <c r="BQ37" s="10"/>
      <c r="BS37" s="10"/>
      <c r="BV37" s="10"/>
      <c r="BX37" s="10"/>
      <c r="CA37" s="10"/>
      <c r="CC37" s="10"/>
      <c r="CF37" s="10"/>
      <c r="CH37" s="10"/>
    </row>
    <row r="38" spans="1:86" x14ac:dyDescent="0.55000000000000004">
      <c r="A38">
        <v>33</v>
      </c>
      <c r="H38" s="10">
        <f t="shared" si="0"/>
        <v>-1</v>
      </c>
      <c r="J38" s="10">
        <f t="shared" si="1"/>
        <v>-1</v>
      </c>
      <c r="L38" s="10"/>
      <c r="N38" s="10"/>
      <c r="P38" s="10"/>
      <c r="R38" s="10"/>
      <c r="T38" s="10"/>
      <c r="V38" s="10"/>
      <c r="X38" s="10"/>
      <c r="Z38" s="10"/>
      <c r="AC38" s="10"/>
      <c r="AE38" s="10"/>
      <c r="AH38" s="10"/>
      <c r="AJ38" s="10"/>
      <c r="AM38" s="10"/>
      <c r="AO38" s="10"/>
      <c r="AR38" s="10"/>
      <c r="AT38" s="10"/>
      <c r="AW38" s="10"/>
      <c r="AY38" s="10"/>
      <c r="BB38" s="10"/>
      <c r="BD38" s="10"/>
      <c r="BG38" s="10"/>
      <c r="BI38" s="10"/>
      <c r="BL38" s="10"/>
      <c r="BN38" s="10"/>
      <c r="BQ38" s="10"/>
      <c r="BS38" s="10"/>
      <c r="BV38" s="10"/>
      <c r="BX38" s="10"/>
      <c r="CA38" s="10"/>
      <c r="CC38" s="10"/>
      <c r="CF38" s="10"/>
      <c r="CH38" s="10"/>
    </row>
    <row r="39" spans="1:86" x14ac:dyDescent="0.55000000000000004">
      <c r="A39">
        <v>34</v>
      </c>
      <c r="H39" s="10">
        <f t="shared" si="0"/>
        <v>-1</v>
      </c>
      <c r="J39" s="10">
        <f t="shared" si="1"/>
        <v>-1</v>
      </c>
      <c r="L39" s="10"/>
      <c r="N39" s="10"/>
      <c r="P39" s="10"/>
      <c r="R39" s="10"/>
      <c r="T39" s="10"/>
      <c r="V39" s="10"/>
      <c r="X39" s="10"/>
      <c r="Z39" s="10"/>
      <c r="AC39" s="10"/>
      <c r="AE39" s="10"/>
      <c r="AH39" s="10"/>
      <c r="AJ39" s="10"/>
      <c r="AM39" s="10"/>
      <c r="AO39" s="10"/>
      <c r="AR39" s="10"/>
      <c r="AT39" s="10"/>
      <c r="AW39" s="10"/>
      <c r="AY39" s="10"/>
      <c r="BB39" s="10"/>
      <c r="BD39" s="10"/>
      <c r="BG39" s="10"/>
      <c r="BI39" s="10"/>
      <c r="BL39" s="10"/>
      <c r="BN39" s="10"/>
      <c r="BQ39" s="10"/>
      <c r="BS39" s="10"/>
      <c r="BV39" s="10"/>
      <c r="BX39" s="10"/>
      <c r="CA39" s="10"/>
      <c r="CC39" s="10"/>
      <c r="CF39" s="10"/>
      <c r="CH39" s="10"/>
    </row>
    <row r="40" spans="1:86" x14ac:dyDescent="0.55000000000000004">
      <c r="A40">
        <v>35</v>
      </c>
      <c r="H40" s="10">
        <f t="shared" si="0"/>
        <v>-1</v>
      </c>
      <c r="J40" s="10">
        <f t="shared" si="1"/>
        <v>-1</v>
      </c>
      <c r="L40" s="10"/>
      <c r="N40" s="10"/>
      <c r="P40" s="10"/>
      <c r="R40" s="10"/>
      <c r="T40" s="10"/>
      <c r="V40" s="10"/>
      <c r="X40" s="10"/>
      <c r="Z40" s="10"/>
      <c r="AC40" s="10"/>
      <c r="AE40" s="10"/>
      <c r="AH40" s="10"/>
      <c r="AJ40" s="10"/>
      <c r="AM40" s="10"/>
      <c r="AO40" s="10"/>
      <c r="AR40" s="10"/>
      <c r="AT40" s="10"/>
      <c r="AW40" s="10"/>
      <c r="AY40" s="10"/>
      <c r="BB40" s="10"/>
      <c r="BD40" s="10"/>
      <c r="BG40" s="10"/>
      <c r="BI40" s="10"/>
      <c r="BL40" s="10"/>
      <c r="BN40" s="10"/>
      <c r="BQ40" s="10"/>
      <c r="BS40" s="10"/>
      <c r="BV40" s="10"/>
      <c r="BX40" s="10"/>
      <c r="CA40" s="10"/>
      <c r="CC40" s="10"/>
      <c r="CF40" s="10"/>
      <c r="CH40" s="10"/>
    </row>
    <row r="41" spans="1:86" x14ac:dyDescent="0.55000000000000004">
      <c r="A41">
        <v>36</v>
      </c>
      <c r="H41" s="10">
        <f t="shared" si="0"/>
        <v>-1</v>
      </c>
      <c r="J41" s="10">
        <f t="shared" si="1"/>
        <v>-1</v>
      </c>
      <c r="L41" s="10"/>
      <c r="N41" s="10"/>
      <c r="P41" s="10"/>
      <c r="R41" s="10"/>
      <c r="T41" s="10"/>
      <c r="V41" s="10"/>
      <c r="X41" s="10"/>
      <c r="Z41" s="10"/>
      <c r="AC41" s="10"/>
      <c r="AE41" s="10"/>
      <c r="AH41" s="10"/>
      <c r="AJ41" s="10"/>
      <c r="AM41" s="10"/>
      <c r="AO41" s="10"/>
      <c r="AR41" s="10"/>
      <c r="AT41" s="10"/>
      <c r="AW41" s="10"/>
      <c r="AY41" s="10"/>
      <c r="BB41" s="10"/>
      <c r="BD41" s="10"/>
      <c r="BG41" s="10"/>
      <c r="BI41" s="10"/>
      <c r="BL41" s="10"/>
      <c r="BN41" s="10"/>
      <c r="BQ41" s="10"/>
      <c r="BS41" s="10"/>
      <c r="BV41" s="10"/>
      <c r="BX41" s="10"/>
      <c r="CA41" s="10"/>
      <c r="CC41" s="10"/>
      <c r="CF41" s="10"/>
      <c r="CH41" s="10"/>
    </row>
    <row r="42" spans="1:86" x14ac:dyDescent="0.55000000000000004">
      <c r="A42">
        <v>37</v>
      </c>
      <c r="H42" s="10">
        <f t="shared" si="0"/>
        <v>-1</v>
      </c>
      <c r="J42" s="10">
        <f t="shared" si="1"/>
        <v>-1</v>
      </c>
      <c r="L42" s="10"/>
      <c r="N42" s="10"/>
      <c r="P42" s="10"/>
      <c r="R42" s="10"/>
      <c r="T42" s="10"/>
      <c r="V42" s="10"/>
      <c r="X42" s="10"/>
      <c r="Z42" s="10"/>
      <c r="AC42" s="10"/>
      <c r="AE42" s="10"/>
      <c r="AH42" s="10"/>
      <c r="AJ42" s="10"/>
      <c r="AM42" s="10"/>
      <c r="AO42" s="10"/>
      <c r="AR42" s="10"/>
      <c r="AT42" s="10"/>
      <c r="AW42" s="10"/>
      <c r="AY42" s="10"/>
      <c r="BB42" s="10"/>
      <c r="BD42" s="10"/>
      <c r="BG42" s="10"/>
      <c r="BI42" s="10"/>
      <c r="BL42" s="10"/>
      <c r="BN42" s="10"/>
      <c r="BQ42" s="10"/>
      <c r="BS42" s="10"/>
      <c r="BV42" s="10"/>
      <c r="BX42" s="10"/>
      <c r="CA42" s="10"/>
      <c r="CC42" s="10"/>
      <c r="CF42" s="10"/>
      <c r="CH42" s="10"/>
    </row>
    <row r="43" spans="1:86" x14ac:dyDescent="0.55000000000000004">
      <c r="A43">
        <v>38</v>
      </c>
      <c r="H43" s="10">
        <f t="shared" si="0"/>
        <v>-1</v>
      </c>
      <c r="J43" s="10">
        <f t="shared" si="1"/>
        <v>-1</v>
      </c>
      <c r="L43" s="10"/>
      <c r="N43" s="10"/>
      <c r="P43" s="10"/>
      <c r="R43" s="10"/>
      <c r="T43" s="10"/>
      <c r="V43" s="10"/>
      <c r="X43" s="10"/>
      <c r="Z43" s="10"/>
      <c r="AC43" s="10"/>
      <c r="AE43" s="10"/>
      <c r="AH43" s="10"/>
      <c r="AJ43" s="10"/>
      <c r="AM43" s="10"/>
      <c r="AO43" s="10"/>
      <c r="AR43" s="10"/>
      <c r="AT43" s="10"/>
      <c r="AW43" s="10"/>
      <c r="AY43" s="10"/>
      <c r="BB43" s="10"/>
      <c r="BD43" s="10"/>
      <c r="BG43" s="10"/>
      <c r="BI43" s="10"/>
      <c r="BL43" s="10"/>
      <c r="BN43" s="10"/>
      <c r="BQ43" s="10"/>
      <c r="BS43" s="10"/>
      <c r="BV43" s="10"/>
      <c r="BX43" s="10"/>
      <c r="CA43" s="10"/>
      <c r="CC43" s="10"/>
      <c r="CF43" s="10"/>
      <c r="CH43" s="10"/>
    </row>
    <row r="44" spans="1:86" x14ac:dyDescent="0.55000000000000004">
      <c r="A44">
        <v>39</v>
      </c>
      <c r="H44" s="10">
        <f t="shared" si="0"/>
        <v>-1</v>
      </c>
      <c r="J44" s="10">
        <f t="shared" si="1"/>
        <v>-1</v>
      </c>
      <c r="L44" s="10"/>
      <c r="N44" s="10"/>
      <c r="P44" s="10"/>
      <c r="R44" s="10"/>
      <c r="T44" s="10"/>
      <c r="V44" s="10"/>
      <c r="X44" s="10"/>
      <c r="Z44" s="10"/>
      <c r="AC44" s="10"/>
      <c r="AE44" s="10"/>
      <c r="AH44" s="10"/>
      <c r="AJ44" s="10"/>
      <c r="AM44" s="10"/>
      <c r="AO44" s="10"/>
      <c r="AR44" s="10"/>
      <c r="AT44" s="10"/>
      <c r="AW44" s="10"/>
      <c r="AY44" s="10"/>
      <c r="BB44" s="10"/>
      <c r="BD44" s="10"/>
      <c r="BG44" s="10"/>
      <c r="BI44" s="10"/>
      <c r="BL44" s="10"/>
      <c r="BN44" s="10"/>
      <c r="BQ44" s="10"/>
      <c r="BS44" s="10"/>
      <c r="BV44" s="10"/>
      <c r="BX44" s="10"/>
      <c r="CA44" s="10"/>
      <c r="CC44" s="10"/>
      <c r="CF44" s="10"/>
      <c r="CH44" s="10"/>
    </row>
    <row r="45" spans="1:86" x14ac:dyDescent="0.55000000000000004">
      <c r="A45">
        <v>40</v>
      </c>
      <c r="H45" s="10">
        <f t="shared" si="0"/>
        <v>-1</v>
      </c>
      <c r="J45" s="10">
        <f t="shared" si="1"/>
        <v>-1</v>
      </c>
      <c r="L45" s="10"/>
      <c r="N45" s="10"/>
      <c r="P45" s="10"/>
      <c r="R45" s="10"/>
      <c r="T45" s="10"/>
      <c r="V45" s="10"/>
      <c r="X45" s="10"/>
      <c r="Z45" s="10"/>
      <c r="AC45" s="10"/>
      <c r="AE45" s="10"/>
      <c r="AH45" s="10"/>
      <c r="AJ45" s="10"/>
      <c r="AM45" s="10"/>
      <c r="AO45" s="10"/>
      <c r="AR45" s="10"/>
      <c r="AT45" s="10"/>
      <c r="AW45" s="10"/>
      <c r="AY45" s="10"/>
      <c r="BB45" s="10"/>
      <c r="BD45" s="10"/>
      <c r="BG45" s="10"/>
      <c r="BI45" s="10"/>
      <c r="BL45" s="10"/>
      <c r="BN45" s="10"/>
      <c r="BQ45" s="10"/>
      <c r="BS45" s="10"/>
      <c r="BV45" s="10"/>
      <c r="BX45" s="10"/>
      <c r="CA45" s="10"/>
      <c r="CC45" s="10"/>
      <c r="CF45" s="10"/>
      <c r="CH45" s="10"/>
    </row>
    <row r="46" spans="1:86" x14ac:dyDescent="0.55000000000000004">
      <c r="A46">
        <v>41</v>
      </c>
      <c r="H46" s="10">
        <f t="shared" si="0"/>
        <v>-1</v>
      </c>
      <c r="J46" s="10">
        <f t="shared" si="1"/>
        <v>-1</v>
      </c>
      <c r="L46" s="10"/>
      <c r="N46" s="10"/>
      <c r="P46" s="10"/>
      <c r="R46" s="10"/>
      <c r="T46" s="10"/>
      <c r="V46" s="10"/>
      <c r="X46" s="10"/>
      <c r="Z46" s="10"/>
      <c r="AC46" s="10"/>
      <c r="AE46" s="10"/>
      <c r="AH46" s="10"/>
      <c r="AJ46" s="10"/>
      <c r="AM46" s="10"/>
      <c r="AO46" s="10"/>
      <c r="AR46" s="10"/>
      <c r="AT46" s="10"/>
      <c r="AW46" s="10"/>
      <c r="AY46" s="10"/>
      <c r="BB46" s="10"/>
      <c r="BD46" s="10"/>
      <c r="BG46" s="10"/>
      <c r="BI46" s="10"/>
      <c r="BL46" s="10"/>
      <c r="BN46" s="10"/>
      <c r="BQ46" s="10"/>
      <c r="BS46" s="10"/>
      <c r="BV46" s="10"/>
      <c r="BX46" s="10"/>
      <c r="CA46" s="10"/>
      <c r="CC46" s="10"/>
      <c r="CF46" s="10"/>
      <c r="CH46" s="10"/>
    </row>
    <row r="47" spans="1:86" x14ac:dyDescent="0.55000000000000004">
      <c r="A47">
        <v>42</v>
      </c>
      <c r="H47" s="10">
        <f t="shared" si="0"/>
        <v>-1</v>
      </c>
      <c r="J47" s="10">
        <f t="shared" si="1"/>
        <v>-1</v>
      </c>
      <c r="L47" s="10"/>
      <c r="N47" s="10"/>
      <c r="P47" s="10"/>
      <c r="R47" s="10"/>
      <c r="T47" s="10"/>
      <c r="V47" s="10"/>
      <c r="X47" s="10"/>
      <c r="Z47" s="10"/>
      <c r="AC47" s="10"/>
      <c r="AE47" s="10"/>
      <c r="AH47" s="10"/>
      <c r="AJ47" s="10"/>
      <c r="AM47" s="10"/>
      <c r="AO47" s="10"/>
      <c r="AR47" s="10"/>
      <c r="AT47" s="10"/>
      <c r="AW47" s="10"/>
      <c r="AY47" s="10"/>
      <c r="BB47" s="10"/>
      <c r="BD47" s="10"/>
      <c r="BG47" s="10"/>
      <c r="BI47" s="10"/>
      <c r="BL47" s="10"/>
      <c r="BN47" s="10"/>
      <c r="BQ47" s="10"/>
      <c r="BS47" s="10"/>
      <c r="BV47" s="10"/>
      <c r="BX47" s="10"/>
      <c r="CA47" s="10"/>
      <c r="CC47" s="10"/>
      <c r="CF47" s="10"/>
      <c r="CH47" s="10"/>
    </row>
    <row r="48" spans="1:86" x14ac:dyDescent="0.55000000000000004">
      <c r="A48">
        <v>43</v>
      </c>
      <c r="H48" s="10">
        <f t="shared" si="0"/>
        <v>-1</v>
      </c>
      <c r="J48" s="10">
        <f t="shared" si="1"/>
        <v>-1</v>
      </c>
      <c r="L48" s="10"/>
      <c r="N48" s="10"/>
      <c r="P48" s="10"/>
      <c r="R48" s="10"/>
      <c r="T48" s="10"/>
      <c r="V48" s="10"/>
      <c r="X48" s="10"/>
      <c r="Z48" s="10"/>
      <c r="AC48" s="10"/>
      <c r="AE48" s="10"/>
      <c r="AH48" s="10"/>
      <c r="AJ48" s="10"/>
      <c r="AM48" s="10"/>
      <c r="AO48" s="10"/>
      <c r="AR48" s="10"/>
      <c r="AT48" s="10"/>
      <c r="AW48" s="10"/>
      <c r="AY48" s="10"/>
      <c r="BB48" s="10"/>
      <c r="BD48" s="10"/>
      <c r="BG48" s="10"/>
      <c r="BI48" s="10"/>
      <c r="BL48" s="10"/>
      <c r="BN48" s="10"/>
      <c r="BQ48" s="10"/>
      <c r="BS48" s="10"/>
      <c r="BV48" s="10"/>
      <c r="BX48" s="10"/>
      <c r="CA48" s="10"/>
      <c r="CC48" s="10"/>
      <c r="CF48" s="10"/>
      <c r="CH48" s="10"/>
    </row>
    <row r="49" spans="1:86" x14ac:dyDescent="0.55000000000000004">
      <c r="A49">
        <v>44</v>
      </c>
      <c r="H49" s="10">
        <f t="shared" si="0"/>
        <v>-1</v>
      </c>
      <c r="J49" s="10">
        <f t="shared" si="1"/>
        <v>-1</v>
      </c>
      <c r="L49" s="10"/>
      <c r="N49" s="10"/>
      <c r="P49" s="10"/>
      <c r="R49" s="10"/>
      <c r="T49" s="10"/>
      <c r="V49" s="10"/>
      <c r="X49" s="10"/>
      <c r="Z49" s="10"/>
      <c r="AC49" s="10"/>
      <c r="AE49" s="10"/>
      <c r="AH49" s="10"/>
      <c r="AJ49" s="10"/>
      <c r="AM49" s="10"/>
      <c r="AO49" s="10"/>
      <c r="AR49" s="10"/>
      <c r="AT49" s="10"/>
      <c r="AW49" s="10"/>
      <c r="AY49" s="10"/>
      <c r="BB49" s="10"/>
      <c r="BD49" s="10"/>
      <c r="BG49" s="10"/>
      <c r="BI49" s="10"/>
      <c r="BL49" s="10"/>
      <c r="BN49" s="10"/>
      <c r="BQ49" s="10"/>
      <c r="BS49" s="10"/>
      <c r="BV49" s="10"/>
      <c r="BX49" s="10"/>
      <c r="CA49" s="10"/>
      <c r="CC49" s="10"/>
      <c r="CF49" s="10"/>
      <c r="CH49" s="10"/>
    </row>
    <row r="50" spans="1:86" x14ac:dyDescent="0.55000000000000004">
      <c r="A50">
        <v>45</v>
      </c>
      <c r="H50" s="10">
        <f t="shared" si="0"/>
        <v>-1</v>
      </c>
      <c r="J50" s="10">
        <f t="shared" si="1"/>
        <v>-1</v>
      </c>
      <c r="L50" s="10"/>
      <c r="N50" s="10"/>
      <c r="P50" s="10"/>
      <c r="R50" s="10"/>
      <c r="T50" s="10"/>
      <c r="V50" s="10"/>
      <c r="X50" s="10"/>
      <c r="Z50" s="10"/>
      <c r="AC50" s="10"/>
      <c r="AE50" s="10"/>
      <c r="AH50" s="10"/>
      <c r="AJ50" s="10"/>
      <c r="AM50" s="10"/>
      <c r="AO50" s="10"/>
      <c r="AR50" s="10"/>
      <c r="AT50" s="10"/>
      <c r="AW50" s="10"/>
      <c r="AY50" s="10"/>
      <c r="BB50" s="10"/>
      <c r="BD50" s="10"/>
      <c r="BG50" s="10"/>
      <c r="BI50" s="10"/>
      <c r="BL50" s="10"/>
      <c r="BN50" s="10"/>
      <c r="BQ50" s="10"/>
      <c r="BS50" s="10"/>
      <c r="BV50" s="10"/>
      <c r="BX50" s="10"/>
      <c r="CA50" s="10"/>
      <c r="CC50" s="10"/>
      <c r="CF50" s="10"/>
      <c r="CH50" s="10"/>
    </row>
    <row r="51" spans="1:86" x14ac:dyDescent="0.55000000000000004">
      <c r="A51">
        <v>46</v>
      </c>
      <c r="H51" s="10">
        <f t="shared" si="0"/>
        <v>-1</v>
      </c>
      <c r="J51" s="10">
        <f t="shared" si="1"/>
        <v>-1</v>
      </c>
      <c r="L51" s="10"/>
      <c r="N51" s="10"/>
      <c r="P51" s="10"/>
      <c r="R51" s="10"/>
      <c r="T51" s="10"/>
      <c r="V51" s="10"/>
      <c r="X51" s="10"/>
      <c r="Z51" s="10"/>
      <c r="AC51" s="10"/>
      <c r="AE51" s="10"/>
      <c r="AH51" s="10"/>
      <c r="AJ51" s="10"/>
      <c r="AM51" s="10"/>
      <c r="AO51" s="10"/>
      <c r="AR51" s="10"/>
      <c r="AT51" s="10"/>
      <c r="AW51" s="10"/>
      <c r="AY51" s="10"/>
      <c r="BB51" s="10"/>
      <c r="BD51" s="10"/>
      <c r="BG51" s="10"/>
      <c r="BI51" s="10"/>
      <c r="BL51" s="10"/>
      <c r="BN51" s="10"/>
      <c r="BQ51" s="10"/>
      <c r="BS51" s="10"/>
      <c r="BV51" s="10"/>
      <c r="BX51" s="10"/>
      <c r="CA51" s="10"/>
      <c r="CC51" s="10"/>
      <c r="CF51" s="10"/>
      <c r="CH51" s="10"/>
    </row>
    <row r="52" spans="1:86" x14ac:dyDescent="0.55000000000000004">
      <c r="A52">
        <v>47</v>
      </c>
      <c r="H52" s="10">
        <f t="shared" si="0"/>
        <v>-1</v>
      </c>
      <c r="J52" s="10">
        <f t="shared" si="1"/>
        <v>-1</v>
      </c>
      <c r="L52" s="10"/>
      <c r="N52" s="10"/>
      <c r="P52" s="10"/>
      <c r="R52" s="10"/>
      <c r="T52" s="10"/>
      <c r="V52" s="10"/>
      <c r="X52" s="10"/>
      <c r="Z52" s="10"/>
      <c r="AC52" s="10"/>
      <c r="AE52" s="10"/>
      <c r="AH52" s="10"/>
      <c r="AJ52" s="10"/>
      <c r="AM52" s="10"/>
      <c r="AO52" s="10"/>
      <c r="AR52" s="10"/>
      <c r="AT52" s="10"/>
      <c r="AW52" s="10"/>
      <c r="AY52" s="10"/>
      <c r="BB52" s="10"/>
      <c r="BD52" s="10"/>
      <c r="BG52" s="10"/>
      <c r="BI52" s="10"/>
      <c r="BL52" s="10"/>
      <c r="BN52" s="10"/>
      <c r="BQ52" s="10"/>
      <c r="BS52" s="10"/>
      <c r="BV52" s="10"/>
      <c r="BX52" s="10"/>
      <c r="CA52" s="10"/>
      <c r="CC52" s="10"/>
      <c r="CF52" s="10"/>
      <c r="CH52" s="10"/>
    </row>
    <row r="53" spans="1:86" x14ac:dyDescent="0.55000000000000004">
      <c r="A53">
        <v>48</v>
      </c>
      <c r="H53" s="10">
        <f t="shared" si="0"/>
        <v>-1</v>
      </c>
      <c r="J53" s="10">
        <f t="shared" si="1"/>
        <v>-1</v>
      </c>
      <c r="L53" s="10"/>
      <c r="N53" s="10"/>
      <c r="P53" s="10"/>
      <c r="R53" s="10"/>
      <c r="T53" s="10"/>
      <c r="V53" s="10"/>
      <c r="X53" s="10"/>
      <c r="Z53" s="10"/>
      <c r="AC53" s="10"/>
      <c r="AE53" s="10"/>
      <c r="AH53" s="10"/>
      <c r="AJ53" s="10"/>
      <c r="AM53" s="10"/>
      <c r="AO53" s="10"/>
      <c r="AR53" s="10"/>
      <c r="AT53" s="10"/>
      <c r="AW53" s="10"/>
      <c r="AY53" s="10"/>
      <c r="BB53" s="10"/>
      <c r="BD53" s="10"/>
      <c r="BG53" s="10"/>
      <c r="BI53" s="10"/>
      <c r="BL53" s="10"/>
      <c r="BN53" s="10"/>
      <c r="BQ53" s="10"/>
      <c r="BS53" s="10"/>
      <c r="BV53" s="10"/>
      <c r="BX53" s="10"/>
      <c r="CA53" s="10"/>
      <c r="CC53" s="10"/>
      <c r="CF53" s="10"/>
      <c r="CH53" s="10"/>
    </row>
    <row r="54" spans="1:86" x14ac:dyDescent="0.55000000000000004">
      <c r="A54">
        <v>49</v>
      </c>
      <c r="H54" s="10">
        <f t="shared" si="0"/>
        <v>-1</v>
      </c>
      <c r="J54" s="10">
        <f t="shared" si="1"/>
        <v>-1</v>
      </c>
      <c r="L54" s="10"/>
      <c r="N54" s="10"/>
      <c r="P54" s="10"/>
      <c r="R54" s="10"/>
      <c r="T54" s="10"/>
      <c r="V54" s="10"/>
      <c r="X54" s="10"/>
      <c r="Z54" s="10"/>
      <c r="AC54" s="10"/>
      <c r="AE54" s="10"/>
      <c r="AH54" s="10"/>
      <c r="AJ54" s="10"/>
      <c r="AM54" s="10"/>
      <c r="AO54" s="10"/>
      <c r="AR54" s="10"/>
      <c r="AT54" s="10"/>
      <c r="AW54" s="10"/>
      <c r="AY54" s="10"/>
      <c r="BB54" s="10"/>
      <c r="BD54" s="10"/>
      <c r="BG54" s="10"/>
      <c r="BI54" s="10"/>
      <c r="BL54" s="10"/>
      <c r="BN54" s="10"/>
      <c r="BQ54" s="10"/>
      <c r="BS54" s="10"/>
      <c r="BV54" s="10"/>
      <c r="BX54" s="10"/>
      <c r="CA54" s="10"/>
      <c r="CC54" s="10"/>
      <c r="CF54" s="10"/>
      <c r="CH54" s="10"/>
    </row>
    <row r="55" spans="1:86" x14ac:dyDescent="0.55000000000000004">
      <c r="A55">
        <v>50</v>
      </c>
      <c r="H55" s="10">
        <f t="shared" si="0"/>
        <v>-1</v>
      </c>
      <c r="J55" s="10">
        <f t="shared" si="1"/>
        <v>-1</v>
      </c>
      <c r="L55" s="10"/>
      <c r="N55" s="10"/>
      <c r="P55" s="10"/>
      <c r="R55" s="10"/>
      <c r="T55" s="10"/>
      <c r="V55" s="10"/>
      <c r="X55" s="10"/>
      <c r="Z55" s="10"/>
      <c r="AC55" s="10"/>
      <c r="AE55" s="10"/>
      <c r="AH55" s="10"/>
      <c r="AJ55" s="10"/>
      <c r="AM55" s="10"/>
      <c r="AO55" s="10"/>
      <c r="AR55" s="10"/>
      <c r="AT55" s="10"/>
      <c r="AW55" s="10"/>
      <c r="AY55" s="10"/>
      <c r="BB55" s="10"/>
      <c r="BD55" s="10"/>
      <c r="BG55" s="10"/>
      <c r="BI55" s="10"/>
      <c r="BL55" s="10"/>
      <c r="BN55" s="10"/>
      <c r="BQ55" s="10"/>
      <c r="BS55" s="10"/>
      <c r="BV55" s="10"/>
      <c r="BX55" s="10"/>
      <c r="CA55" s="10"/>
      <c r="CC55" s="10"/>
      <c r="CF55" s="10"/>
      <c r="CH55" s="10"/>
    </row>
    <row r="56" spans="1:86" x14ac:dyDescent="0.55000000000000004">
      <c r="H56" s="10"/>
      <c r="J56" s="10"/>
      <c r="L56" s="10"/>
      <c r="N56" s="10"/>
      <c r="P56" s="10"/>
      <c r="R56" s="10"/>
      <c r="T56" s="10"/>
      <c r="V56" s="10"/>
      <c r="X56" s="10"/>
      <c r="Z56" s="10"/>
      <c r="AC56" s="10"/>
      <c r="AE56" s="10"/>
      <c r="AH56" s="10"/>
      <c r="AJ56" s="10"/>
      <c r="AM56" s="10"/>
      <c r="AO56" s="10"/>
      <c r="AR56" s="10"/>
      <c r="AT56" s="10"/>
      <c r="AW56" s="10"/>
      <c r="AY56" s="10"/>
      <c r="BB56" s="10"/>
      <c r="BD56" s="10"/>
      <c r="BG56" s="10"/>
      <c r="BI56" s="10"/>
      <c r="BL56" s="10"/>
      <c r="BN56" s="10"/>
      <c r="BQ56" s="10"/>
      <c r="BS56" s="10"/>
      <c r="BV56" s="10"/>
      <c r="BX56" s="10"/>
      <c r="CA56" s="10"/>
      <c r="CC56" s="10"/>
      <c r="CF56" s="10"/>
      <c r="CH56" s="10"/>
    </row>
    <row r="57" spans="1:86" x14ac:dyDescent="0.55000000000000004">
      <c r="H57" s="10"/>
      <c r="J57" s="10"/>
      <c r="L57" s="10"/>
      <c r="N57" s="10"/>
      <c r="P57" s="10"/>
      <c r="R57" s="10"/>
      <c r="T57" s="10"/>
      <c r="V57" s="10"/>
      <c r="X57" s="10"/>
      <c r="Z57" s="10"/>
      <c r="AC57" s="10"/>
      <c r="AE57" s="10"/>
      <c r="AH57" s="10"/>
      <c r="AJ57" s="10"/>
      <c r="AM57" s="10"/>
      <c r="AO57" s="10"/>
      <c r="AR57" s="10"/>
      <c r="AT57" s="10"/>
      <c r="AW57" s="10"/>
      <c r="AY57" s="10"/>
      <c r="BB57" s="10"/>
      <c r="BD57" s="10"/>
      <c r="BG57" s="10"/>
      <c r="BI57" s="10"/>
      <c r="BL57" s="10"/>
      <c r="BN57" s="10"/>
      <c r="BQ57" s="10"/>
      <c r="BS57" s="10"/>
      <c r="BV57" s="10"/>
      <c r="BX57" s="10"/>
      <c r="CA57" s="10"/>
      <c r="CC57" s="10"/>
      <c r="CF57" s="10"/>
      <c r="CH57" s="10"/>
    </row>
    <row r="58" spans="1:86" x14ac:dyDescent="0.55000000000000004">
      <c r="H58" s="10"/>
      <c r="J58" s="10"/>
      <c r="L58" s="10"/>
      <c r="N58" s="10"/>
      <c r="P58" s="10"/>
      <c r="R58" s="10"/>
      <c r="T58" s="10"/>
      <c r="V58" s="10"/>
      <c r="X58" s="10"/>
      <c r="Z58" s="10"/>
      <c r="AC58" s="10"/>
      <c r="AE58" s="10"/>
      <c r="AH58" s="10"/>
      <c r="AJ58" s="10"/>
      <c r="AM58" s="10"/>
      <c r="AO58" s="10"/>
      <c r="AR58" s="10"/>
      <c r="AT58" s="10"/>
      <c r="AW58" s="10"/>
      <c r="AY58" s="10"/>
      <c r="BB58" s="10"/>
      <c r="BD58" s="10"/>
      <c r="BG58" s="10"/>
      <c r="BI58" s="10"/>
      <c r="BL58" s="10"/>
      <c r="BN58" s="10"/>
      <c r="BQ58" s="10"/>
      <c r="BS58" s="10"/>
      <c r="BV58" s="10"/>
      <c r="BX58" s="10"/>
      <c r="CA58" s="10"/>
      <c r="CC58" s="10"/>
      <c r="CF58" s="10"/>
      <c r="CH58" s="10"/>
    </row>
    <row r="59" spans="1:86" x14ac:dyDescent="0.55000000000000004">
      <c r="H59" s="10"/>
      <c r="J59" s="10"/>
      <c r="L59" s="10"/>
      <c r="N59" s="10"/>
      <c r="P59" s="10"/>
      <c r="R59" s="10"/>
      <c r="T59" s="10"/>
      <c r="V59" s="10"/>
      <c r="X59" s="10"/>
      <c r="Z59" s="10"/>
      <c r="AC59" s="10"/>
      <c r="AE59" s="10"/>
      <c r="AH59" s="10"/>
      <c r="AJ59" s="10"/>
      <c r="AM59" s="10"/>
      <c r="AO59" s="10"/>
      <c r="AR59" s="10"/>
      <c r="AT59" s="10"/>
      <c r="AW59" s="10"/>
      <c r="AY59" s="10"/>
      <c r="BB59" s="10"/>
      <c r="BD59" s="10"/>
      <c r="BG59" s="10"/>
      <c r="BI59" s="10"/>
      <c r="BL59" s="10"/>
      <c r="BN59" s="10"/>
      <c r="BQ59" s="10"/>
      <c r="BS59" s="10"/>
      <c r="BV59" s="10"/>
      <c r="BX59" s="10"/>
      <c r="CA59" s="10"/>
      <c r="CC59" s="10"/>
      <c r="CF59" s="10"/>
      <c r="CH59" s="10"/>
    </row>
  </sheetData>
  <mergeCells count="44">
    <mergeCell ref="AP3:AT3"/>
    <mergeCell ref="K3:L3"/>
    <mergeCell ref="AK4:AO4"/>
    <mergeCell ref="AP4:AT4"/>
    <mergeCell ref="AU3:AY3"/>
    <mergeCell ref="AU4:AY4"/>
    <mergeCell ref="AK3:AO3"/>
    <mergeCell ref="W4:X4"/>
    <mergeCell ref="Y4:Z4"/>
    <mergeCell ref="AA4:AE4"/>
    <mergeCell ref="AF4:AJ4"/>
    <mergeCell ref="O3:P3"/>
    <mergeCell ref="Q3:R3"/>
    <mergeCell ref="W3:X3"/>
    <mergeCell ref="AA3:AE3"/>
    <mergeCell ref="AF3:AJ3"/>
    <mergeCell ref="Y3:Z3"/>
    <mergeCell ref="G3:H3"/>
    <mergeCell ref="O4:P4"/>
    <mergeCell ref="Q4:R4"/>
    <mergeCell ref="U3:V3"/>
    <mergeCell ref="S4:T4"/>
    <mergeCell ref="U4:V4"/>
    <mergeCell ref="S3:T3"/>
    <mergeCell ref="G4:H4"/>
    <mergeCell ref="I3:J3"/>
    <mergeCell ref="I4:J4"/>
    <mergeCell ref="M3:N3"/>
    <mergeCell ref="M4:N4"/>
    <mergeCell ref="K4:L4"/>
    <mergeCell ref="AZ4:BD4"/>
    <mergeCell ref="BE3:BI3"/>
    <mergeCell ref="BJ3:BN3"/>
    <mergeCell ref="BO3:BS3"/>
    <mergeCell ref="BT3:BX3"/>
    <mergeCell ref="AZ3:BD3"/>
    <mergeCell ref="BY3:CC3"/>
    <mergeCell ref="CD3:CH3"/>
    <mergeCell ref="BE4:BI4"/>
    <mergeCell ref="BJ4:BN4"/>
    <mergeCell ref="BO4:BS4"/>
    <mergeCell ref="BT4:BX4"/>
    <mergeCell ref="BY4:CC4"/>
    <mergeCell ref="CD4:CH4"/>
  </mergeCells>
  <phoneticPr fontId="1"/>
  <dataValidations count="5">
    <dataValidation type="list" allowBlank="1" showInputMessage="1" showErrorMessage="1" sqref="K59" xr:uid="{FC0E7DE9-3FE3-48C1-9987-5BB24F0829C6}">
      <formula1>属性</formula1>
    </dataValidation>
    <dataValidation type="list" allowBlank="1" showInputMessage="1" showErrorMessage="1" sqref="E6:E55" xr:uid="{9457C41F-A0F0-4E39-A22C-818CA57A567E}">
      <formula1>タイプ</formula1>
    </dataValidation>
    <dataValidation type="list" allowBlank="1" showInputMessage="1" showErrorMessage="1" sqref="F6:F55" xr:uid="{FDA0D998-CD65-4552-A5AF-53E31ABC29B7}">
      <formula1>タイプ詳細</formula1>
    </dataValidation>
    <dataValidation type="list" operator="equal" allowBlank="1" showInputMessage="1" showErrorMessage="1" sqref="K50 K51 K52 K53 K54 K1 K2 K3 K4 K5 K6 K7 K8 K9 K10 K11 K12 K13 K14 K15 K16 K17 K18 K19 K20 K21 K22 K23 K24 K25 K26 K27 K28 K29 K30 K31 K32 K33 K34 K35 K36 K37 K38 K39 K40 K41 K42 K43 K44 K45 K46 K47 K48 K49 K55" xr:uid="{56F609FC-037A-4DCB-8A89-3C2CC9FB4AFE}">
      <formula1>属性</formula1>
    </dataValidation>
    <dataValidation type="list" operator="equal" allowBlank="1" showInputMessage="1" showErrorMessage="1" sqref="M50 M51 M52 M53 M54 M1 M2 M3 M4 M5 M6 M7 M8 M9 M10 M11 M12 M13 M14 M15 M16 M17 M18 M19 M20 M21 M22 M23 M24 M25 M26 M27 M28 M29 M30 M31 M32 M33 M34 M35 M36 M37 M38 M39 M40 M41 M42 M43 M44 M45 M46 M47 M48 M49 M55" xr:uid="{294E9ADE-78E7-473F-A15E-A34C35CCECAF}">
      <formula1>種族</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1" r:id="rId4" name="Button 17">
              <controlPr defaultSize="0" print="0" autoFill="0" autoPict="0" macro="[0]!Output">
                <anchor moveWithCells="1" sizeWithCells="1">
                  <from>
                    <xdr:col>1</xdr:col>
                    <xdr:colOff>273050</xdr:colOff>
                    <xdr:row>1</xdr:row>
                    <xdr:rowOff>298450</xdr:rowOff>
                  </from>
                  <to>
                    <xdr:col>1</xdr:col>
                    <xdr:colOff>1524000</xdr:colOff>
                    <xdr:row>1</xdr:row>
                    <xdr:rowOff>762000</xdr:rowOff>
                  </to>
                </anchor>
              </controlPr>
            </control>
          </mc:Choice>
        </mc:AlternateContent>
        <mc:AlternateContent xmlns:mc="http://schemas.openxmlformats.org/markup-compatibility/2006">
          <mc:Choice Requires="x14">
            <control shapeId="1047" r:id="rId5" name="Button 23">
              <controlPr defaultSize="0" print="0" autoFill="0" autoPict="0" macro="[0]!LoadData">
                <anchor moveWithCells="1" sizeWithCells="1">
                  <from>
                    <xdr:col>1</xdr:col>
                    <xdr:colOff>1790700</xdr:colOff>
                    <xdr:row>1</xdr:row>
                    <xdr:rowOff>285750</xdr:rowOff>
                  </from>
                  <to>
                    <xdr:col>2</xdr:col>
                    <xdr:colOff>476250</xdr:colOff>
                    <xdr:row>1</xdr:row>
                    <xdr:rowOff>749300</xdr:rowOff>
                  </to>
                </anchor>
              </controlPr>
            </control>
          </mc:Choice>
        </mc:AlternateContent>
        <mc:AlternateContent xmlns:mc="http://schemas.openxmlformats.org/markup-compatibility/2006">
          <mc:Choice Requires="x14">
            <control shapeId="1051" r:id="rId6" name="Button 27">
              <controlPr defaultSize="0" print="0" autoFill="0" autoPict="0" macro="[0]!LoadRule">
                <anchor moveWithCells="1" sizeWithCells="1">
                  <from>
                    <xdr:col>2</xdr:col>
                    <xdr:colOff>565150</xdr:colOff>
                    <xdr:row>1</xdr:row>
                    <xdr:rowOff>266700</xdr:rowOff>
                  </from>
                  <to>
                    <xdr:col>3</xdr:col>
                    <xdr:colOff>857250</xdr:colOff>
                    <xdr:row>1</xdr:row>
                    <xdr:rowOff>730250</xdr:rowOff>
                  </to>
                </anchor>
              </controlPr>
            </control>
          </mc:Choice>
        </mc:AlternateContent>
        <mc:AlternateContent xmlns:mc="http://schemas.openxmlformats.org/markup-compatibility/2006">
          <mc:Choice Requires="x14">
            <control shapeId="1052" r:id="rId7" name="Button 28">
              <controlPr defaultSize="0" print="0" autoFill="0" autoPict="0" macro="[0]!UpdateRef">
                <anchor moveWithCells="1" sizeWithCells="1">
                  <from>
                    <xdr:col>4</xdr:col>
                    <xdr:colOff>19050</xdr:colOff>
                    <xdr:row>1</xdr:row>
                    <xdr:rowOff>273050</xdr:rowOff>
                  </from>
                  <to>
                    <xdr:col>5</xdr:col>
                    <xdr:colOff>762000</xdr:colOff>
                    <xdr:row>1</xdr:row>
                    <xdr:rowOff>736600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27FA9E-B301-4444-BE88-31C116480568}">
  <sheetPr codeName="Sheet2"/>
  <dimension ref="A1:J32"/>
  <sheetViews>
    <sheetView workbookViewId="0"/>
  </sheetViews>
  <sheetFormatPr defaultRowHeight="18" x14ac:dyDescent="0.55000000000000004"/>
  <cols>
    <col min="1" max="1" width="16.25" bestFit="1" customWidth="1"/>
    <col min="2" max="3" width="18.1640625" bestFit="1" customWidth="1"/>
    <col min="4" max="4" width="16.25" bestFit="1" customWidth="1"/>
    <col min="5" max="5" width="26" bestFit="1" customWidth="1"/>
    <col min="6" max="6" width="38.83203125" bestFit="1" customWidth="1"/>
    <col min="7" max="7" width="18.1640625" bestFit="1" customWidth="1"/>
    <col min="8" max="8" width="16.25" bestFit="1" customWidth="1"/>
    <col min="9" max="9" width="26" bestFit="1" customWidth="1"/>
    <col min="10" max="10" width="38.83203125" bestFit="1" customWidth="1"/>
  </cols>
  <sheetData>
    <row r="1" spans="1:10" x14ac:dyDescent="0.55000000000000004">
      <c r="A1" t="s">
        <v>83</v>
      </c>
      <c r="C1" t="s">
        <v>100</v>
      </c>
      <c r="E1" t="s">
        <v>101</v>
      </c>
      <c r="G1" t="s">
        <v>97</v>
      </c>
      <c r="I1" t="s">
        <v>98</v>
      </c>
    </row>
    <row r="2" spans="1:10" s="6" customFormat="1" x14ac:dyDescent="0.55000000000000004">
      <c r="A2" s="6" t="s">
        <v>84</v>
      </c>
      <c r="C2" s="6" t="s">
        <v>104</v>
      </c>
      <c r="E2" s="6" t="s">
        <v>104</v>
      </c>
      <c r="G2" s="6" t="s">
        <v>84</v>
      </c>
      <c r="I2" s="6" t="s">
        <v>84</v>
      </c>
    </row>
    <row r="3" spans="1:10" x14ac:dyDescent="0.55000000000000004">
      <c r="A3" t="s">
        <v>85</v>
      </c>
      <c r="B3" t="s">
        <v>95</v>
      </c>
      <c r="C3" t="s">
        <v>196</v>
      </c>
      <c r="D3" t="s">
        <v>20</v>
      </c>
      <c r="E3" t="s">
        <v>208</v>
      </c>
      <c r="F3" t="s">
        <v>228</v>
      </c>
      <c r="G3" t="s">
        <v>105</v>
      </c>
      <c r="H3" t="s">
        <v>115</v>
      </c>
      <c r="I3" t="s">
        <v>122</v>
      </c>
      <c r="J3" t="s">
        <v>152</v>
      </c>
    </row>
    <row r="4" spans="1:10" x14ac:dyDescent="0.55000000000000004">
      <c r="A4" t="s">
        <v>86</v>
      </c>
      <c r="B4" t="s">
        <v>96</v>
      </c>
      <c r="C4" t="s">
        <v>197</v>
      </c>
      <c r="D4" t="s">
        <v>206</v>
      </c>
      <c r="E4" t="s">
        <v>209</v>
      </c>
      <c r="F4" t="s">
        <v>229</v>
      </c>
      <c r="G4" t="s">
        <v>106</v>
      </c>
      <c r="H4" t="s">
        <v>116</v>
      </c>
      <c r="I4" t="s">
        <v>123</v>
      </c>
      <c r="J4" t="s">
        <v>153</v>
      </c>
    </row>
    <row r="5" spans="1:10" x14ac:dyDescent="0.55000000000000004">
      <c r="A5" t="s">
        <v>87</v>
      </c>
      <c r="B5" t="s">
        <v>97</v>
      </c>
      <c r="C5" t="s">
        <v>198</v>
      </c>
      <c r="D5" t="s">
        <v>207</v>
      </c>
      <c r="E5" t="s">
        <v>210</v>
      </c>
      <c r="F5" t="s">
        <v>230</v>
      </c>
      <c r="G5" t="s">
        <v>107</v>
      </c>
      <c r="H5" t="s">
        <v>117</v>
      </c>
      <c r="I5" t="s">
        <v>124</v>
      </c>
      <c r="J5" t="s">
        <v>154</v>
      </c>
    </row>
    <row r="6" spans="1:10" x14ac:dyDescent="0.55000000000000004">
      <c r="A6" t="s">
        <v>88</v>
      </c>
      <c r="B6" t="s">
        <v>98</v>
      </c>
      <c r="C6" t="s">
        <v>199</v>
      </c>
      <c r="E6" t="s">
        <v>211</v>
      </c>
      <c r="F6" t="s">
        <v>231</v>
      </c>
      <c r="G6" t="s">
        <v>108</v>
      </c>
      <c r="H6" t="s">
        <v>118</v>
      </c>
      <c r="I6" t="s">
        <v>125</v>
      </c>
      <c r="J6" t="s">
        <v>155</v>
      </c>
    </row>
    <row r="7" spans="1:10" x14ac:dyDescent="0.55000000000000004">
      <c r="A7" t="s">
        <v>89</v>
      </c>
      <c r="B7" t="s">
        <v>99</v>
      </c>
      <c r="C7" t="s">
        <v>200</v>
      </c>
      <c r="E7" t="s">
        <v>212</v>
      </c>
      <c r="F7" t="s">
        <v>232</v>
      </c>
      <c r="G7" t="s">
        <v>109</v>
      </c>
      <c r="H7" t="s">
        <v>119</v>
      </c>
      <c r="I7" t="s">
        <v>126</v>
      </c>
      <c r="J7" t="s">
        <v>156</v>
      </c>
    </row>
    <row r="8" spans="1:10" x14ac:dyDescent="0.55000000000000004">
      <c r="A8" t="s">
        <v>90</v>
      </c>
      <c r="C8" t="s">
        <v>201</v>
      </c>
      <c r="E8" t="s">
        <v>213</v>
      </c>
      <c r="F8" t="s">
        <v>233</v>
      </c>
      <c r="G8" t="s">
        <v>110</v>
      </c>
      <c r="H8" t="s">
        <v>120</v>
      </c>
      <c r="I8" t="s">
        <v>127</v>
      </c>
      <c r="J8" t="s">
        <v>157</v>
      </c>
    </row>
    <row r="9" spans="1:10" x14ac:dyDescent="0.55000000000000004">
      <c r="A9" t="s">
        <v>91</v>
      </c>
      <c r="C9" t="s">
        <v>202</v>
      </c>
      <c r="E9" t="s">
        <v>214</v>
      </c>
      <c r="F9" t="s">
        <v>234</v>
      </c>
      <c r="G9" t="s">
        <v>111</v>
      </c>
      <c r="H9" t="s">
        <v>121</v>
      </c>
      <c r="I9" t="s">
        <v>128</v>
      </c>
      <c r="J9" t="s">
        <v>158</v>
      </c>
    </row>
    <row r="10" spans="1:10" x14ac:dyDescent="0.55000000000000004">
      <c r="A10" t="s">
        <v>92</v>
      </c>
      <c r="C10" t="s">
        <v>203</v>
      </c>
      <c r="E10" t="s">
        <v>215</v>
      </c>
      <c r="F10" t="s">
        <v>235</v>
      </c>
      <c r="G10" t="s">
        <v>112</v>
      </c>
      <c r="I10" t="s">
        <v>129</v>
      </c>
      <c r="J10" t="s">
        <v>159</v>
      </c>
    </row>
    <row r="11" spans="1:10" x14ac:dyDescent="0.55000000000000004">
      <c r="A11" t="s">
        <v>93</v>
      </c>
      <c r="C11" t="s">
        <v>204</v>
      </c>
      <c r="E11" t="s">
        <v>216</v>
      </c>
      <c r="F11" t="s">
        <v>236</v>
      </c>
      <c r="G11" t="s">
        <v>113</v>
      </c>
      <c r="I11" t="s">
        <v>130</v>
      </c>
      <c r="J11" t="s">
        <v>160</v>
      </c>
    </row>
    <row r="12" spans="1:10" x14ac:dyDescent="0.55000000000000004">
      <c r="A12" t="s">
        <v>94</v>
      </c>
      <c r="C12" t="s">
        <v>205</v>
      </c>
      <c r="E12" t="s">
        <v>217</v>
      </c>
      <c r="F12" t="s">
        <v>237</v>
      </c>
      <c r="G12" t="s">
        <v>114</v>
      </c>
      <c r="I12" t="s">
        <v>131</v>
      </c>
      <c r="J12" t="s">
        <v>161</v>
      </c>
    </row>
    <row r="13" spans="1:10" x14ac:dyDescent="0.55000000000000004">
      <c r="E13" t="s">
        <v>218</v>
      </c>
      <c r="F13" t="s">
        <v>238</v>
      </c>
      <c r="G13" t="s">
        <v>240</v>
      </c>
      <c r="I13" t="s">
        <v>132</v>
      </c>
      <c r="J13" t="s">
        <v>162</v>
      </c>
    </row>
    <row r="14" spans="1:10" x14ac:dyDescent="0.55000000000000004">
      <c r="E14" t="s">
        <v>219</v>
      </c>
      <c r="F14" t="s">
        <v>239</v>
      </c>
      <c r="G14" t="s">
        <v>241</v>
      </c>
      <c r="I14" t="s">
        <v>133</v>
      </c>
      <c r="J14" t="s">
        <v>163</v>
      </c>
    </row>
    <row r="15" spans="1:10" x14ac:dyDescent="0.55000000000000004">
      <c r="E15" t="s">
        <v>220</v>
      </c>
      <c r="G15" t="s">
        <v>242</v>
      </c>
      <c r="I15" t="s">
        <v>134</v>
      </c>
      <c r="J15" t="s">
        <v>164</v>
      </c>
    </row>
    <row r="16" spans="1:10" x14ac:dyDescent="0.55000000000000004">
      <c r="E16" t="s">
        <v>221</v>
      </c>
      <c r="G16" t="s">
        <v>243</v>
      </c>
      <c r="I16" t="s">
        <v>135</v>
      </c>
      <c r="J16" t="s">
        <v>165</v>
      </c>
    </row>
    <row r="17" spans="5:10" x14ac:dyDescent="0.55000000000000004">
      <c r="E17" t="s">
        <v>222</v>
      </c>
      <c r="G17" t="s">
        <v>244</v>
      </c>
      <c r="I17" t="s">
        <v>136</v>
      </c>
      <c r="J17" t="s">
        <v>166</v>
      </c>
    </row>
    <row r="18" spans="5:10" x14ac:dyDescent="0.55000000000000004">
      <c r="E18" t="s">
        <v>223</v>
      </c>
      <c r="G18" t="s">
        <v>245</v>
      </c>
      <c r="I18" t="s">
        <v>137</v>
      </c>
      <c r="J18" t="s">
        <v>167</v>
      </c>
    </row>
    <row r="19" spans="5:10" x14ac:dyDescent="0.55000000000000004">
      <c r="E19" t="s">
        <v>224</v>
      </c>
      <c r="G19" t="s">
        <v>246</v>
      </c>
      <c r="I19" t="s">
        <v>138</v>
      </c>
      <c r="J19" t="s">
        <v>168</v>
      </c>
    </row>
    <row r="20" spans="5:10" x14ac:dyDescent="0.55000000000000004">
      <c r="E20" t="s">
        <v>225</v>
      </c>
      <c r="G20" t="s">
        <v>247</v>
      </c>
      <c r="I20" t="s">
        <v>139</v>
      </c>
      <c r="J20" t="s">
        <v>169</v>
      </c>
    </row>
    <row r="21" spans="5:10" x14ac:dyDescent="0.55000000000000004">
      <c r="E21" t="s">
        <v>226</v>
      </c>
      <c r="G21" t="s">
        <v>248</v>
      </c>
      <c r="I21" t="s">
        <v>140</v>
      </c>
      <c r="J21" t="s">
        <v>170</v>
      </c>
    </row>
    <row r="22" spans="5:10" x14ac:dyDescent="0.55000000000000004">
      <c r="E22" t="s">
        <v>227</v>
      </c>
      <c r="G22" t="s">
        <v>249</v>
      </c>
      <c r="I22" t="s">
        <v>141</v>
      </c>
      <c r="J22" t="s">
        <v>171</v>
      </c>
    </row>
    <row r="23" spans="5:10" x14ac:dyDescent="0.55000000000000004">
      <c r="I23" t="s">
        <v>142</v>
      </c>
      <c r="J23" t="s">
        <v>172</v>
      </c>
    </row>
    <row r="24" spans="5:10" x14ac:dyDescent="0.55000000000000004">
      <c r="I24" t="s">
        <v>143</v>
      </c>
      <c r="J24" t="s">
        <v>173</v>
      </c>
    </row>
    <row r="25" spans="5:10" x14ac:dyDescent="0.55000000000000004">
      <c r="I25" t="s">
        <v>144</v>
      </c>
      <c r="J25" t="s">
        <v>174</v>
      </c>
    </row>
    <row r="26" spans="5:10" x14ac:dyDescent="0.55000000000000004">
      <c r="I26" t="s">
        <v>145</v>
      </c>
      <c r="J26" t="s">
        <v>175</v>
      </c>
    </row>
    <row r="27" spans="5:10" x14ac:dyDescent="0.55000000000000004">
      <c r="I27" t="s">
        <v>146</v>
      </c>
      <c r="J27" t="s">
        <v>176</v>
      </c>
    </row>
    <row r="28" spans="5:10" x14ac:dyDescent="0.55000000000000004">
      <c r="I28" t="s">
        <v>147</v>
      </c>
      <c r="J28" t="s">
        <v>177</v>
      </c>
    </row>
    <row r="29" spans="5:10" x14ac:dyDescent="0.55000000000000004">
      <c r="I29" t="s">
        <v>148</v>
      </c>
    </row>
    <row r="30" spans="5:10" x14ac:dyDescent="0.55000000000000004">
      <c r="I30" t="s">
        <v>149</v>
      </c>
    </row>
    <row r="31" spans="5:10" x14ac:dyDescent="0.55000000000000004">
      <c r="I31" t="s">
        <v>150</v>
      </c>
    </row>
    <row r="32" spans="5:10" x14ac:dyDescent="0.55000000000000004">
      <c r="I32" t="s">
        <v>151</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vt:i4>
      </vt:variant>
      <vt:variant>
        <vt:lpstr>名前付き一覧</vt:lpstr>
      </vt:variant>
      <vt:variant>
        <vt:i4>5</vt:i4>
      </vt:variant>
    </vt:vector>
  </HeadingPairs>
  <TitlesOfParts>
    <vt:vector size="7" baseType="lpstr">
      <vt:lpstr>card_database</vt:lpstr>
      <vt:lpstr>ref</vt:lpstr>
      <vt:lpstr>タイプ</vt:lpstr>
      <vt:lpstr>タイプ詳細</vt:lpstr>
      <vt:lpstr>種族</vt:lpstr>
      <vt:lpstr>属性</vt:lpstr>
      <vt:lpstr>汎用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sorerusushi</dc:creator>
  <cp:lastModifiedBy>すし それる</cp:lastModifiedBy>
  <dcterms:created xsi:type="dcterms:W3CDTF">2022-04-10T16:48:27Z</dcterms:created>
  <dcterms:modified xsi:type="dcterms:W3CDTF">2026-02-06T11:10:13Z</dcterms:modified>
</cp:coreProperties>
</file>