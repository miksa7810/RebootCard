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sorerusushi\Desktop\Soreru\RebootCard\Excel\"/>
    </mc:Choice>
  </mc:AlternateContent>
  <xr:revisionPtr revIDLastSave="0" documentId="13_ncr:1_{8C9DAE13-73EF-4987-B710-3DE3B99181D3}" xr6:coauthVersionLast="47" xr6:coauthVersionMax="47" xr10:uidLastSave="{00000000-0000-0000-0000-000000000000}"/>
  <bookViews>
    <workbookView xWindow="-110" yWindow="-110" windowWidth="38620" windowHeight="21100" xr2:uid="{E721D69E-C4DC-4E77-BD55-905F246DE791}"/>
  </bookViews>
  <sheets>
    <sheet name="card_database" sheetId="1" r:id="rId1"/>
    <sheet name="output" sheetId="9" r:id="rId2"/>
    <sheet name="ref" sheetId="8" r:id="rId3"/>
  </sheets>
  <definedNames>
    <definedName name="タイプ">ref!$D$3:$D$12</definedName>
    <definedName name="タイプ詳細">ref!$F$3:$F$22</definedName>
    <definedName name="種族">ref!$J$3:$J$32</definedName>
    <definedName name="属性">ref!$H$3:$H$22</definedName>
    <definedName name="汎用">ref!$B$3:$B$12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7" i="9" l="1"/>
  <c r="A9" i="9"/>
  <c r="A8" i="9"/>
  <c r="A7" i="9"/>
  <c r="A6" i="9"/>
  <c r="B9" i="9"/>
  <c r="B8" i="9"/>
  <c r="B7" i="9"/>
  <c r="B6" i="9"/>
  <c r="C9" i="9"/>
  <c r="C8" i="9"/>
  <c r="C7" i="9"/>
  <c r="C6" i="9"/>
  <c r="D9" i="9"/>
  <c r="D8" i="9"/>
  <c r="D7" i="9"/>
  <c r="D6" i="9"/>
  <c r="E6" i="9"/>
  <c r="F9" i="9"/>
  <c r="F8" i="9"/>
  <c r="F7" i="9"/>
  <c r="F6" i="9"/>
  <c r="E9" i="9"/>
  <c r="E8" i="9"/>
  <c r="E7" i="9"/>
  <c r="P9" i="9"/>
  <c r="O9" i="9"/>
  <c r="N9" i="9"/>
  <c r="M9" i="9"/>
  <c r="L9" i="9"/>
  <c r="K9" i="9"/>
  <c r="J9" i="9"/>
  <c r="I9" i="9"/>
  <c r="H9" i="9"/>
  <c r="G9" i="9"/>
  <c r="P8" i="9"/>
  <c r="O8" i="9"/>
  <c r="N8" i="9"/>
  <c r="M8" i="9"/>
  <c r="L8" i="9"/>
  <c r="K8" i="9"/>
  <c r="J8" i="9"/>
  <c r="I8" i="9"/>
  <c r="H8" i="9"/>
  <c r="G8" i="9"/>
  <c r="P7" i="9"/>
  <c r="O7" i="9"/>
  <c r="N7" i="9"/>
  <c r="M7" i="9"/>
  <c r="L7" i="9"/>
  <c r="K7" i="9"/>
  <c r="I7" i="9"/>
  <c r="H7" i="9"/>
  <c r="G7" i="9"/>
  <c r="P6" i="9"/>
  <c r="O6" i="9"/>
  <c r="N6" i="9"/>
  <c r="M6" i="9"/>
  <c r="L6" i="9"/>
  <c r="K6" i="9"/>
  <c r="J6" i="9"/>
  <c r="I6" i="9"/>
  <c r="H6" i="9"/>
  <c r="G6" i="9"/>
  <c r="P5" i="1"/>
  <c r="O5" i="1"/>
  <c r="N5" i="1"/>
  <c r="M5" i="1"/>
  <c r="L5" i="1"/>
  <c r="K5" i="1"/>
  <c r="J5" i="1"/>
  <c r="I5" i="1"/>
  <c r="H5" i="1"/>
  <c r="G5" i="1"/>
</calcChain>
</file>

<file path=xl/sharedStrings.xml><?xml version="1.0" encoding="utf-8"?>
<sst xmlns="http://schemas.openxmlformats.org/spreadsheetml/2006/main" count="300" uniqueCount="254">
  <si>
    <t>ID</t>
    <phoneticPr fontId="1"/>
  </si>
  <si>
    <t>id_</t>
    <phoneticPr fontId="1"/>
  </si>
  <si>
    <t>カードIDデータベース</t>
    <phoneticPr fontId="1"/>
  </si>
  <si>
    <t>カード名</t>
    <rPh sb="3" eb="4">
      <t>メイ</t>
    </rPh>
    <phoneticPr fontId="1"/>
  </si>
  <si>
    <t>name_</t>
    <phoneticPr fontId="1"/>
  </si>
  <si>
    <t>テキスト</t>
    <phoneticPr fontId="1"/>
  </si>
  <si>
    <t>text_</t>
    <phoneticPr fontId="1"/>
  </si>
  <si>
    <t>１ターンに１度、自分のメインフェイズ時にこのカードの攻撃力を４００ポイントアップできる。この効果を発動するターン、このカードは攻撃できない。</t>
    <phoneticPr fontId="1"/>
  </si>
  <si>
    <t>魔法使いとしては、攻撃力・守備力ともに最高クラス。</t>
    <phoneticPr fontId="1"/>
  </si>
  <si>
    <t>image_</t>
    <phoneticPr fontId="1"/>
  </si>
  <si>
    <t>画像No</t>
    <rPh sb="0" eb="2">
      <t>ガゾウ</t>
    </rPh>
    <phoneticPr fontId="1"/>
  </si>
  <si>
    <t>汎用1</t>
    <rPh sb="0" eb="2">
      <t>ハンヨウ</t>
    </rPh>
    <phoneticPr fontId="1"/>
  </si>
  <si>
    <t>汎用2</t>
    <rPh sb="0" eb="2">
      <t>ハンヨウ</t>
    </rPh>
    <phoneticPr fontId="1"/>
  </si>
  <si>
    <t>汎用3</t>
    <rPh sb="0" eb="2">
      <t>ハンヨウ</t>
    </rPh>
    <phoneticPr fontId="1"/>
  </si>
  <si>
    <t>汎用4</t>
    <rPh sb="0" eb="2">
      <t>ハンヨウ</t>
    </rPh>
    <phoneticPr fontId="1"/>
  </si>
  <si>
    <t>汎用5</t>
    <rPh sb="0" eb="2">
      <t>ハンヨウ</t>
    </rPh>
    <phoneticPr fontId="1"/>
  </si>
  <si>
    <t>汎用6</t>
    <rPh sb="0" eb="2">
      <t>ハンヨウ</t>
    </rPh>
    <phoneticPr fontId="1"/>
  </si>
  <si>
    <t>汎用7</t>
    <rPh sb="0" eb="2">
      <t>ハンヨウ</t>
    </rPh>
    <phoneticPr fontId="1"/>
  </si>
  <si>
    <t>汎用8</t>
    <rPh sb="0" eb="2">
      <t>ハンヨウ</t>
    </rPh>
    <phoneticPr fontId="1"/>
  </si>
  <si>
    <t>モンスター</t>
    <phoneticPr fontId="1"/>
  </si>
  <si>
    <t>ブラック・マジシャン</t>
    <phoneticPr fontId="1"/>
  </si>
  <si>
    <t>temp1_</t>
    <phoneticPr fontId="1"/>
  </si>
  <si>
    <t>temp2_</t>
    <phoneticPr fontId="1"/>
  </si>
  <si>
    <t>temp3_</t>
    <phoneticPr fontId="1"/>
  </si>
  <si>
    <t>temp4_</t>
    <phoneticPr fontId="1"/>
  </si>
  <si>
    <t>temp5_</t>
    <phoneticPr fontId="1"/>
  </si>
  <si>
    <t>temp6_</t>
    <phoneticPr fontId="1"/>
  </si>
  <si>
    <t>効果条件1</t>
    <rPh sb="0" eb="2">
      <t>コウカ</t>
    </rPh>
    <rPh sb="2" eb="4">
      <t>ジョウケン</t>
    </rPh>
    <phoneticPr fontId="1"/>
  </si>
  <si>
    <t>効果2</t>
    <rPh sb="0" eb="2">
      <t>コウカ</t>
    </rPh>
    <phoneticPr fontId="1"/>
  </si>
  <si>
    <t>効果条件2</t>
    <rPh sb="0" eb="2">
      <t>コウカ</t>
    </rPh>
    <rPh sb="2" eb="4">
      <t>ジョウケン</t>
    </rPh>
    <phoneticPr fontId="1"/>
  </si>
  <si>
    <t>効果1</t>
    <rPh sb="0" eb="2">
      <t>コウカ</t>
    </rPh>
    <phoneticPr fontId="1"/>
  </si>
  <si>
    <t>汎用9</t>
    <rPh sb="0" eb="2">
      <t>ハンヨウ</t>
    </rPh>
    <phoneticPr fontId="1"/>
  </si>
  <si>
    <t>汎用10</t>
    <rPh sb="0" eb="2">
      <t>ハンヨウ</t>
    </rPh>
    <phoneticPr fontId="1"/>
  </si>
  <si>
    <t>effect1_</t>
    <phoneticPr fontId="1"/>
  </si>
  <si>
    <t>effect1_arg1_</t>
    <phoneticPr fontId="1"/>
  </si>
  <si>
    <t>effect1_arg2_</t>
    <phoneticPr fontId="1"/>
  </si>
  <si>
    <t>effect2_</t>
    <phoneticPr fontId="1"/>
  </si>
  <si>
    <t>effect2_arg1_</t>
    <phoneticPr fontId="1"/>
  </si>
  <si>
    <t>effect2_arg2_</t>
    <phoneticPr fontId="1"/>
  </si>
  <si>
    <t>効果条件3</t>
    <rPh sb="0" eb="2">
      <t>コウカ</t>
    </rPh>
    <rPh sb="2" eb="4">
      <t>ジョウケン</t>
    </rPh>
    <phoneticPr fontId="1"/>
  </si>
  <si>
    <t>効果3</t>
    <rPh sb="0" eb="2">
      <t>コウカ</t>
    </rPh>
    <phoneticPr fontId="1"/>
  </si>
  <si>
    <t>effect3_</t>
    <phoneticPr fontId="1"/>
  </si>
  <si>
    <t>effect3_arg1_</t>
    <phoneticPr fontId="1"/>
  </si>
  <si>
    <t>effect3_arg2_</t>
    <phoneticPr fontId="1"/>
  </si>
  <si>
    <t>temp7_</t>
    <phoneticPr fontId="1"/>
  </si>
  <si>
    <t>temp8_</t>
    <phoneticPr fontId="1"/>
  </si>
  <si>
    <t>temp9_</t>
    <phoneticPr fontId="1"/>
  </si>
  <si>
    <t>temp10_</t>
    <phoneticPr fontId="1"/>
  </si>
  <si>
    <t>(青眼の白龍)[ブルーアイズホワイトドラゴン]</t>
    <phoneticPr fontId="1"/>
  </si>
  <si>
    <t>わざ条件1</t>
    <rPh sb="2" eb="4">
      <t>ジョウケン</t>
    </rPh>
    <phoneticPr fontId="1"/>
  </si>
  <si>
    <t>わざ1</t>
    <phoneticPr fontId="1"/>
  </si>
  <si>
    <t>わざ条件2</t>
    <rPh sb="2" eb="4">
      <t>ジョウケン</t>
    </rPh>
    <phoneticPr fontId="1"/>
  </si>
  <si>
    <t>わざ2</t>
    <phoneticPr fontId="1"/>
  </si>
  <si>
    <t>わざ条件3</t>
    <rPh sb="2" eb="4">
      <t>ジョウケン</t>
    </rPh>
    <phoneticPr fontId="1"/>
  </si>
  <si>
    <t>わざ3</t>
    <phoneticPr fontId="1"/>
  </si>
  <si>
    <t>effect1_cond_</t>
    <phoneticPr fontId="1"/>
  </si>
  <si>
    <t>effect1_cond_arg1_</t>
    <phoneticPr fontId="1"/>
  </si>
  <si>
    <t>effect1_cond_arg2_</t>
    <phoneticPr fontId="1"/>
  </si>
  <si>
    <t>effect2_cond_</t>
    <phoneticPr fontId="1"/>
  </si>
  <si>
    <t>effect2_cond_arg1_</t>
    <phoneticPr fontId="1"/>
  </si>
  <si>
    <t>effect2_cond_arg2_</t>
    <phoneticPr fontId="1"/>
  </si>
  <si>
    <t>effect3_cond_</t>
    <phoneticPr fontId="1"/>
  </si>
  <si>
    <t>effect3_cond_arg1_</t>
    <phoneticPr fontId="1"/>
  </si>
  <si>
    <t>effect3_cond_arg2_</t>
    <phoneticPr fontId="1"/>
  </si>
  <si>
    <t>ability1_cond_</t>
    <phoneticPr fontId="1"/>
  </si>
  <si>
    <t>ability1_cond_arg1_</t>
    <phoneticPr fontId="1"/>
  </si>
  <si>
    <t>ability1_cond_arg2_</t>
    <phoneticPr fontId="1"/>
  </si>
  <si>
    <t>ability1_</t>
    <phoneticPr fontId="1"/>
  </si>
  <si>
    <t>ability1_arg1_</t>
    <phoneticPr fontId="1"/>
  </si>
  <si>
    <t>ability1_arg2_</t>
    <phoneticPr fontId="1"/>
  </si>
  <si>
    <t>ability2_cond_</t>
    <phoneticPr fontId="1"/>
  </si>
  <si>
    <t>ability2_cond_arg1_</t>
    <phoneticPr fontId="1"/>
  </si>
  <si>
    <t>ability2_cond_arg2_</t>
    <phoneticPr fontId="1"/>
  </si>
  <si>
    <t>ability2_</t>
    <phoneticPr fontId="1"/>
  </si>
  <si>
    <t>ability2_arg1_</t>
    <phoneticPr fontId="1"/>
  </si>
  <si>
    <t>ability2_arg2_</t>
    <phoneticPr fontId="1"/>
  </si>
  <si>
    <t>ability3_cond_</t>
    <phoneticPr fontId="1"/>
  </si>
  <si>
    <t>ability3_cond_arg1_</t>
    <phoneticPr fontId="1"/>
  </si>
  <si>
    <t>ability3_cond_arg2_</t>
    <phoneticPr fontId="1"/>
  </si>
  <si>
    <t>ability3_</t>
    <phoneticPr fontId="1"/>
  </si>
  <si>
    <t>ability3_arg1_</t>
    <phoneticPr fontId="1"/>
  </si>
  <si>
    <t>ability3_arg2_</t>
    <phoneticPr fontId="1"/>
  </si>
  <si>
    <t>汎用</t>
    <rPh sb="0" eb="2">
      <t>ハンヨウ</t>
    </rPh>
    <phoneticPr fontId="1"/>
  </si>
  <si>
    <t>text_rule.xlsm</t>
    <phoneticPr fontId="1"/>
  </si>
  <si>
    <t>CARD_COMMON1</t>
    <phoneticPr fontId="1"/>
  </si>
  <si>
    <t>CARD_COMMON2</t>
    <phoneticPr fontId="1"/>
  </si>
  <si>
    <t>CARD_COMMON3</t>
  </si>
  <si>
    <t>CARD_COMMON4</t>
  </si>
  <si>
    <t>CARD_COMMON5</t>
  </si>
  <si>
    <t>CARD_COMMON6</t>
  </si>
  <si>
    <t>CARD_COMMON7</t>
  </si>
  <si>
    <t>CARD_COMMON8</t>
  </si>
  <si>
    <t>CARD_COMMON9</t>
  </si>
  <si>
    <t>CARD_COMMON10</t>
  </si>
  <si>
    <t>攻撃力</t>
    <rPh sb="0" eb="3">
      <t>コウゲキリョク</t>
    </rPh>
    <phoneticPr fontId="1"/>
  </si>
  <si>
    <t>守備力</t>
    <rPh sb="0" eb="3">
      <t>シュビリョク</t>
    </rPh>
    <phoneticPr fontId="1"/>
  </si>
  <si>
    <t>属性</t>
    <rPh sb="0" eb="2">
      <t>ゾクセイ</t>
    </rPh>
    <phoneticPr fontId="1"/>
  </si>
  <si>
    <t>種族</t>
    <rPh sb="0" eb="2">
      <t>シュゾク</t>
    </rPh>
    <phoneticPr fontId="1"/>
  </si>
  <si>
    <t>レベル</t>
    <phoneticPr fontId="1"/>
  </si>
  <si>
    <t>タイプ</t>
    <phoneticPr fontId="1"/>
  </si>
  <si>
    <t>タイプ詳細</t>
    <rPh sb="3" eb="5">
      <t>ショウサイ</t>
    </rPh>
    <phoneticPr fontId="1"/>
  </si>
  <si>
    <t>class_</t>
    <phoneticPr fontId="1"/>
  </si>
  <si>
    <t>detail_class_</t>
    <phoneticPr fontId="1"/>
  </si>
  <si>
    <t>text_rule.xlsm</t>
    <phoneticPr fontId="1"/>
  </si>
  <si>
    <t>CARD_TYPE1</t>
    <phoneticPr fontId="1"/>
  </si>
  <si>
    <t>CARD_TYPE2</t>
    <phoneticPr fontId="1"/>
  </si>
  <si>
    <t>CARD_TYPE3</t>
  </si>
  <si>
    <t>CARD_TYPE4</t>
  </si>
  <si>
    <t>CARD_TYPE5</t>
  </si>
  <si>
    <t>CARD_TYPE6</t>
  </si>
  <si>
    <t>CARD_TYPE7</t>
  </si>
  <si>
    <t>CARD_TYPE8</t>
  </si>
  <si>
    <t>CARD_TYPE9</t>
  </si>
  <si>
    <t>CARD_TYPE10</t>
  </si>
  <si>
    <t>闇属性</t>
    <rPh sb="0" eb="3">
      <t>ヤミゾクセイ</t>
    </rPh>
    <phoneticPr fontId="1"/>
  </si>
  <si>
    <t>光属性</t>
    <rPh sb="0" eb="3">
      <t>ヒカリゾクセイ</t>
    </rPh>
    <phoneticPr fontId="1"/>
  </si>
  <si>
    <t>地属性</t>
    <rPh sb="0" eb="1">
      <t>チ</t>
    </rPh>
    <rPh sb="1" eb="3">
      <t>ゾクセイ</t>
    </rPh>
    <phoneticPr fontId="1"/>
  </si>
  <si>
    <t>水属性</t>
    <rPh sb="0" eb="3">
      <t>ミズゾクセイ</t>
    </rPh>
    <phoneticPr fontId="1"/>
  </si>
  <si>
    <t>炎属性</t>
    <rPh sb="0" eb="1">
      <t>ホノオ</t>
    </rPh>
    <rPh sb="1" eb="3">
      <t>ゾクセイ</t>
    </rPh>
    <phoneticPr fontId="1"/>
  </si>
  <si>
    <t>風属性</t>
    <rPh sb="0" eb="1">
      <t>カゼ</t>
    </rPh>
    <rPh sb="1" eb="3">
      <t>ゾクセイ</t>
    </rPh>
    <phoneticPr fontId="1"/>
  </si>
  <si>
    <t>神属性</t>
    <rPh sb="0" eb="1">
      <t>カミ</t>
    </rPh>
    <rPh sb="1" eb="3">
      <t>ゾクセイ</t>
    </rPh>
    <phoneticPr fontId="1"/>
  </si>
  <si>
    <t>CARD_RACE1</t>
    <phoneticPr fontId="1"/>
  </si>
  <si>
    <t>CARD_RACE2</t>
    <phoneticPr fontId="1"/>
  </si>
  <si>
    <t>CARD_RACE3</t>
  </si>
  <si>
    <t>CARD_RACE4</t>
  </si>
  <si>
    <t>CARD_RACE5</t>
  </si>
  <si>
    <t>CARD_RACE6</t>
  </si>
  <si>
    <t>CARD_RACE7</t>
  </si>
  <si>
    <t>CARD_RACE8</t>
  </si>
  <si>
    <t>CARD_RACE9</t>
  </si>
  <si>
    <t>CARD_RACE10</t>
  </si>
  <si>
    <t>CARD_RACE11</t>
  </si>
  <si>
    <t>CARD_RACE12</t>
  </si>
  <si>
    <t>CARD_RACE13</t>
  </si>
  <si>
    <t>CARD_RACE14</t>
  </si>
  <si>
    <t>CARD_RACE15</t>
  </si>
  <si>
    <t>CARD_RACE16</t>
  </si>
  <si>
    <t>CARD_RACE17</t>
  </si>
  <si>
    <t>CARD_RACE18</t>
  </si>
  <si>
    <t>CARD_RACE19</t>
  </si>
  <si>
    <t>CARD_RACE20</t>
  </si>
  <si>
    <t>CARD_RACE21</t>
  </si>
  <si>
    <t>CARD_RACE22</t>
  </si>
  <si>
    <t>CARD_RACE23</t>
  </si>
  <si>
    <t>CARD_RACE24</t>
  </si>
  <si>
    <t>CARD_RACE25</t>
  </si>
  <si>
    <t>CARD_RACE26</t>
  </si>
  <si>
    <t>CARD_RACE27</t>
  </si>
  <si>
    <t>CARD_RACE28</t>
  </si>
  <si>
    <t>CARD_RACE29</t>
  </si>
  <si>
    <t>CARD_RACE30</t>
  </si>
  <si>
    <t>魔法使い族</t>
    <rPh sb="0" eb="3">
      <t>マホウツカ</t>
    </rPh>
    <rPh sb="4" eb="5">
      <t>ゾク</t>
    </rPh>
    <phoneticPr fontId="1"/>
  </si>
  <si>
    <t>ドラゴン族</t>
    <rPh sb="4" eb="5">
      <t>ゾク</t>
    </rPh>
    <phoneticPr fontId="1"/>
  </si>
  <si>
    <t>アンデット族</t>
    <rPh sb="5" eb="6">
      <t>ゾク</t>
    </rPh>
    <phoneticPr fontId="1"/>
  </si>
  <si>
    <t>戦士族</t>
    <rPh sb="0" eb="2">
      <t>センシ</t>
    </rPh>
    <rPh sb="2" eb="3">
      <t>ゾク</t>
    </rPh>
    <phoneticPr fontId="1"/>
  </si>
  <si>
    <t>獣戦士族</t>
    <rPh sb="0" eb="1">
      <t>ケモノ</t>
    </rPh>
    <rPh sb="1" eb="3">
      <t>センシ</t>
    </rPh>
    <rPh sb="3" eb="4">
      <t>ゾク</t>
    </rPh>
    <phoneticPr fontId="1"/>
  </si>
  <si>
    <t>獣族</t>
    <rPh sb="0" eb="1">
      <t>ケモノ</t>
    </rPh>
    <rPh sb="1" eb="2">
      <t>ゾク</t>
    </rPh>
    <phoneticPr fontId="1"/>
  </si>
  <si>
    <t>鳥獣族</t>
    <rPh sb="0" eb="1">
      <t>トリ</t>
    </rPh>
    <rPh sb="1" eb="2">
      <t>ケモノ</t>
    </rPh>
    <rPh sb="2" eb="3">
      <t>ゾク</t>
    </rPh>
    <phoneticPr fontId="1"/>
  </si>
  <si>
    <t>悪魔族</t>
    <rPh sb="0" eb="3">
      <t>アクマゾク</t>
    </rPh>
    <phoneticPr fontId="1"/>
  </si>
  <si>
    <t>天使族</t>
    <rPh sb="0" eb="3">
      <t>テンシゾク</t>
    </rPh>
    <phoneticPr fontId="1"/>
  </si>
  <si>
    <t>昆虫族</t>
    <rPh sb="0" eb="3">
      <t>コンチュウゾク</t>
    </rPh>
    <phoneticPr fontId="1"/>
  </si>
  <si>
    <t>恐竜族</t>
    <rPh sb="0" eb="3">
      <t>キョウリュウゾク</t>
    </rPh>
    <phoneticPr fontId="1"/>
  </si>
  <si>
    <t>爬虫類族</t>
    <rPh sb="0" eb="4">
      <t>ハチュウルイゾク</t>
    </rPh>
    <phoneticPr fontId="1"/>
  </si>
  <si>
    <t>魚族</t>
    <rPh sb="0" eb="2">
      <t>サカナゾク</t>
    </rPh>
    <phoneticPr fontId="1"/>
  </si>
  <si>
    <t>海竜族</t>
    <rPh sb="0" eb="1">
      <t>ウミ</t>
    </rPh>
    <rPh sb="1" eb="2">
      <t>リュウ</t>
    </rPh>
    <rPh sb="2" eb="3">
      <t>ゾク</t>
    </rPh>
    <phoneticPr fontId="1"/>
  </si>
  <si>
    <t>水族</t>
    <rPh sb="0" eb="2">
      <t>ミズゾク</t>
    </rPh>
    <phoneticPr fontId="1"/>
  </si>
  <si>
    <t>炎族</t>
    <rPh sb="0" eb="2">
      <t>ホノオゾク</t>
    </rPh>
    <phoneticPr fontId="1"/>
  </si>
  <si>
    <t>雷族</t>
    <rPh sb="0" eb="1">
      <t>カミナリ</t>
    </rPh>
    <rPh sb="1" eb="2">
      <t>ゾク</t>
    </rPh>
    <phoneticPr fontId="1"/>
  </si>
  <si>
    <t>岩石族</t>
    <rPh sb="0" eb="2">
      <t>ガンセキ</t>
    </rPh>
    <rPh sb="2" eb="3">
      <t>ゾク</t>
    </rPh>
    <phoneticPr fontId="1"/>
  </si>
  <si>
    <t>植物族</t>
    <rPh sb="0" eb="3">
      <t>ショクブツゾク</t>
    </rPh>
    <phoneticPr fontId="1"/>
  </si>
  <si>
    <t>機械族</t>
    <rPh sb="0" eb="3">
      <t>キカイゾク</t>
    </rPh>
    <phoneticPr fontId="1"/>
  </si>
  <si>
    <t>サイキック族</t>
    <rPh sb="5" eb="6">
      <t>ゾク</t>
    </rPh>
    <phoneticPr fontId="1"/>
  </si>
  <si>
    <t>幻竜族</t>
    <rPh sb="0" eb="1">
      <t>マボロシ</t>
    </rPh>
    <rPh sb="1" eb="2">
      <t>リュウ</t>
    </rPh>
    <rPh sb="2" eb="3">
      <t>ゾク</t>
    </rPh>
    <phoneticPr fontId="1"/>
  </si>
  <si>
    <t>サイバース族</t>
    <rPh sb="5" eb="6">
      <t>ゾク</t>
    </rPh>
    <phoneticPr fontId="1"/>
  </si>
  <si>
    <t>幻想魔族</t>
    <rPh sb="0" eb="2">
      <t>ゲンソウ</t>
    </rPh>
    <rPh sb="2" eb="4">
      <t>マゾク</t>
    </rPh>
    <phoneticPr fontId="1"/>
  </si>
  <si>
    <t>幻神獣族</t>
    <rPh sb="0" eb="1">
      <t>マボロシ</t>
    </rPh>
    <rPh sb="1" eb="2">
      <t>カミ</t>
    </rPh>
    <rPh sb="2" eb="3">
      <t>ケモノ</t>
    </rPh>
    <rPh sb="3" eb="4">
      <t>ゾク</t>
    </rPh>
    <phoneticPr fontId="1"/>
  </si>
  <si>
    <t>創造神族</t>
    <rPh sb="0" eb="2">
      <t>ソウゾウ</t>
    </rPh>
    <rPh sb="2" eb="3">
      <t>カミ</t>
    </rPh>
    <rPh sb="3" eb="4">
      <t>ゾク</t>
    </rPh>
    <phoneticPr fontId="1"/>
  </si>
  <si>
    <t>ルール：</t>
    <phoneticPr fontId="1"/>
  </si>
  <si>
    <t>通常モンスター</t>
    <phoneticPr fontId="1"/>
  </si>
  <si>
    <t>ルールによる永続</t>
    <phoneticPr fontId="1"/>
  </si>
  <si>
    <t>このカードは【引数1】としても扱う</t>
    <phoneticPr fontId="1"/>
  </si>
  <si>
    <t>強欲な壺</t>
    <phoneticPr fontId="1"/>
  </si>
  <si>
    <t>魔法</t>
    <phoneticPr fontId="1"/>
  </si>
  <si>
    <t>通常魔法</t>
    <phoneticPr fontId="1"/>
  </si>
  <si>
    <t>自分フィールドに【引数1】属性かつ【引数2】種族のモンスターがいるとき</t>
    <phoneticPr fontId="1"/>
  </si>
  <si>
    <t>水属性</t>
    <phoneticPr fontId="1"/>
  </si>
  <si>
    <t>戦士族</t>
    <phoneticPr fontId="1"/>
  </si>
  <si>
    <t>カードを【引数1】枚ドローする</t>
    <phoneticPr fontId="1"/>
  </si>
  <si>
    <t>通常罠</t>
    <phoneticPr fontId="1"/>
  </si>
  <si>
    <t>備考</t>
    <rPh sb="0" eb="2">
      <t>ビコウ</t>
    </rPh>
    <phoneticPr fontId="1"/>
  </si>
  <si>
    <t>yugioh</t>
    <phoneticPr fontId="1"/>
  </si>
  <si>
    <t>CARD_CLASS1</t>
    <phoneticPr fontId="1"/>
  </si>
  <si>
    <t>CARD_CLASS2</t>
    <phoneticPr fontId="1"/>
  </si>
  <si>
    <t>CARD_CLASS3</t>
  </si>
  <si>
    <t>CARD_CLASS4</t>
  </si>
  <si>
    <t>CARD_CLASS5</t>
  </si>
  <si>
    <t>CARD_CLASS6</t>
  </si>
  <si>
    <t>CARD_CLASS7</t>
  </si>
  <si>
    <t>CARD_CLASS8</t>
  </si>
  <si>
    <t>CARD_CLASS9</t>
  </si>
  <si>
    <t>CARD_CLASS10</t>
  </si>
  <si>
    <t>罠</t>
    <rPh sb="0" eb="1">
      <t>ワナ</t>
    </rPh>
    <phoneticPr fontId="1"/>
  </si>
  <si>
    <t>魔法</t>
    <rPh sb="0" eb="2">
      <t>マホウ</t>
    </rPh>
    <phoneticPr fontId="1"/>
  </si>
  <si>
    <t>CARD_DETAILCLASS1</t>
    <phoneticPr fontId="1"/>
  </si>
  <si>
    <t>CARD_DETAILCLASS2</t>
    <phoneticPr fontId="1"/>
  </si>
  <si>
    <t>CARD_DETAILCLASS3</t>
  </si>
  <si>
    <t>CARD_DETAILCLASS4</t>
  </si>
  <si>
    <t>CARD_DETAILCLASS5</t>
  </si>
  <si>
    <t>CARD_DETAILCLASS6</t>
  </si>
  <si>
    <t>CARD_DETAILCLASS7</t>
  </si>
  <si>
    <t>CARD_DETAILCLASS8</t>
  </si>
  <si>
    <t>CARD_DETAILCLASS9</t>
  </si>
  <si>
    <t>CARD_DETAILCLASS10</t>
  </si>
  <si>
    <t>CARD_DETAILCLASS11</t>
  </si>
  <si>
    <t>CARD_DETAILCLASS12</t>
  </si>
  <si>
    <t>CARD_DETAILCLASS13</t>
  </si>
  <si>
    <t>CARD_DETAILCLASS14</t>
  </si>
  <si>
    <t>CARD_DETAILCLASS15</t>
  </si>
  <si>
    <t>CARD_DETAILCLASS16</t>
  </si>
  <si>
    <t>CARD_DETAILCLASS17</t>
  </si>
  <si>
    <t>CARD_DETAILCLASS18</t>
  </si>
  <si>
    <t>CARD_DETAILCLASS19</t>
  </si>
  <si>
    <t>CARD_DETAILCLASS20</t>
  </si>
  <si>
    <t>通常モンスター</t>
    <rPh sb="0" eb="2">
      <t>ツウジョウ</t>
    </rPh>
    <phoneticPr fontId="1"/>
  </si>
  <si>
    <t>効果モンスター</t>
    <rPh sb="0" eb="2">
      <t>コウカ</t>
    </rPh>
    <phoneticPr fontId="1"/>
  </si>
  <si>
    <t>通常魔法</t>
    <rPh sb="0" eb="4">
      <t>ツウジョウマホウ</t>
    </rPh>
    <phoneticPr fontId="1"/>
  </si>
  <si>
    <t>永続魔法</t>
    <rPh sb="0" eb="4">
      <t>エイゾクマホウ</t>
    </rPh>
    <phoneticPr fontId="1"/>
  </si>
  <si>
    <t>速攻魔法</t>
    <rPh sb="0" eb="4">
      <t>ソッコウマホウ</t>
    </rPh>
    <phoneticPr fontId="1"/>
  </si>
  <si>
    <t>フィールド魔法</t>
    <rPh sb="5" eb="7">
      <t>マホウ</t>
    </rPh>
    <phoneticPr fontId="1"/>
  </si>
  <si>
    <t>儀式魔法</t>
    <rPh sb="0" eb="4">
      <t>ギシキマホウ</t>
    </rPh>
    <phoneticPr fontId="1"/>
  </si>
  <si>
    <t>装備魔法</t>
    <rPh sb="0" eb="4">
      <t>ソウビマホウ</t>
    </rPh>
    <phoneticPr fontId="1"/>
  </si>
  <si>
    <t>通常罠</t>
    <rPh sb="0" eb="3">
      <t>ツウジョウワナ</t>
    </rPh>
    <phoneticPr fontId="1"/>
  </si>
  <si>
    <t>永続罠</t>
    <rPh sb="0" eb="3">
      <t>エイゾクワナ</t>
    </rPh>
    <phoneticPr fontId="1"/>
  </si>
  <si>
    <t>カウンター罠</t>
    <rPh sb="5" eb="6">
      <t>ワナ</t>
    </rPh>
    <phoneticPr fontId="1"/>
  </si>
  <si>
    <t>儀式モンスター</t>
    <rPh sb="0" eb="2">
      <t>ギシキ</t>
    </rPh>
    <phoneticPr fontId="1"/>
  </si>
  <si>
    <t>CARD_TYPE11</t>
  </si>
  <si>
    <t>CARD_TYPE12</t>
  </si>
  <si>
    <t>CARD_TYPE13</t>
  </si>
  <si>
    <t>CARD_TYPE14</t>
  </si>
  <si>
    <t>CARD_TYPE15</t>
  </si>
  <si>
    <t>CARD_TYPE16</t>
  </si>
  <si>
    <t>CARD_TYPE17</t>
  </si>
  <si>
    <t>CARD_TYPE18</t>
  </si>
  <si>
    <t>CARD_TYPE19</t>
  </si>
  <si>
    <t>CARD_TYPE20</t>
  </si>
  <si>
    <t>闇属性</t>
    <phoneticPr fontId="1"/>
  </si>
  <si>
    <t>魔法使い族</t>
    <phoneticPr fontId="1"/>
  </si>
  <si>
    <t>ドラゴン族</t>
    <phoneticPr fontId="1"/>
  </si>
  <si>
    <t>落とし穴</t>
    <phoneticPr fontId="1"/>
  </si>
  <si>
    <t>罠</t>
    <phoneticPr fontId="1"/>
  </si>
  <si>
    <t>タイプ詳細</t>
    <rPh sb="3" eb="5">
      <t>ショウサイ</t>
    </rPh>
    <phoneticPr fontId="1"/>
  </si>
  <si>
    <t>一つ目の巨人。太い腕で殴りかかってくる。要注意。</t>
    <phoneticPr fontId="1"/>
  </si>
  <si>
    <t>引数1</t>
    <rPh sb="0" eb="2">
      <t>ヒキスウ</t>
    </rPh>
    <phoneticPr fontId="1"/>
  </si>
  <si>
    <t>引数2</t>
    <rPh sb="0" eb="2">
      <t>ヒキスウ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</si>
</sst>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游ゴシック"/>
      <family val="2"/>
      <charset val="128"/>
      <scheme val="minor"/>
    </font>
    <font>
      <sz val="6"/>
      <name val="游ゴシック"/>
      <family val="2"/>
      <charset val="128"/>
      <scheme val="minor"/>
    </font>
    <font>
      <b/>
      <sz val="18"/>
      <color theme="1"/>
      <name val="游ゴシック"/>
      <family val="3"/>
      <charset val="128"/>
      <scheme val="minor"/>
    </font>
    <font>
      <sz val="11"/>
      <color rgb="FF000000"/>
      <name val="游ゴシック"/>
      <family val="3"/>
      <charset val="128"/>
    </font>
    <font>
      <b/>
      <sz val="12"/>
      <color rgb="FFFF0000"/>
      <name val="游ゴシック"/>
      <family val="3"/>
      <charset val="128"/>
      <scheme val="minor"/>
    </font>
    <font>
      <b/>
      <sz val="16"/>
      <color theme="1"/>
      <name val="游ゴシック"/>
      <family val="3"/>
      <charset val="128"/>
      <scheme val="minor"/>
    </font>
  </fonts>
  <fills count="7">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249977111117893"/>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ck">
        <color indexed="64"/>
      </bottom>
      <diagonal/>
    </border>
    <border>
      <left/>
      <right/>
      <top/>
      <bottom style="thick">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ck">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alignment vertical="center"/>
    </xf>
  </cellStyleXfs>
  <cellXfs count="38">
    <xf numFmtId="0" fontId="0" fillId="0" borderId="0" xfId="0">
      <alignment vertical="center"/>
    </xf>
    <xf numFmtId="0" fontId="2" fillId="0" borderId="0" xfId="0" applyFont="1">
      <alignment vertical="center"/>
    </xf>
    <xf numFmtId="0" fontId="0" fillId="2" borderId="1" xfId="0" applyFill="1" applyBorder="1" applyAlignment="1">
      <alignment horizontal="center" vertical="center"/>
    </xf>
    <xf numFmtId="0" fontId="0" fillId="2" borderId="2" xfId="0" applyFill="1" applyBorder="1" applyAlignment="1">
      <alignment horizontal="center" vertical="center"/>
    </xf>
    <xf numFmtId="0" fontId="0" fillId="2" borderId="0" xfId="0" applyFill="1">
      <alignment vertical="center"/>
    </xf>
    <xf numFmtId="0" fontId="0" fillId="0" borderId="0" xfId="0" applyAlignment="1"/>
    <xf numFmtId="0" fontId="0" fillId="0" borderId="1" xfId="0" applyBorder="1" applyAlignment="1">
      <alignment horizontal="center" vertical="center"/>
    </xf>
    <xf numFmtId="0" fontId="0" fillId="0" borderId="2" xfId="0" applyBorder="1" applyAlignment="1">
      <alignment horizontal="center" vertical="center"/>
    </xf>
    <xf numFmtId="0" fontId="4" fillId="0" borderId="0" xfId="0" applyFont="1" applyAlignment="1">
      <alignment horizontal="right" vertical="center" indent="1"/>
    </xf>
    <xf numFmtId="0" fontId="0" fillId="2" borderId="1" xfId="0" applyFill="1" applyBorder="1">
      <alignment vertical="center"/>
    </xf>
    <xf numFmtId="0" fontId="0" fillId="0" borderId="5" xfId="0" applyBorder="1">
      <alignment vertical="center"/>
    </xf>
    <xf numFmtId="0" fontId="0" fillId="0" borderId="7" xfId="0" applyBorder="1">
      <alignment vertical="center"/>
    </xf>
    <xf numFmtId="0" fontId="0" fillId="2" borderId="5" xfId="0" applyFill="1" applyBorder="1" applyAlignment="1">
      <alignment horizontal="center" vertical="center"/>
    </xf>
    <xf numFmtId="0" fontId="0" fillId="2" borderId="6" xfId="0" applyFill="1" applyBorder="1" applyAlignment="1">
      <alignment horizontal="center" vertical="center"/>
    </xf>
    <xf numFmtId="0" fontId="0" fillId="5" borderId="5" xfId="0" applyFill="1" applyBorder="1" applyAlignment="1">
      <alignment horizontal="center" vertical="center"/>
    </xf>
    <xf numFmtId="0" fontId="0" fillId="5" borderId="7" xfId="0" applyFill="1" applyBorder="1" applyAlignment="1">
      <alignment horizontal="center" vertical="center"/>
    </xf>
    <xf numFmtId="0" fontId="0" fillId="3" borderId="5" xfId="0" applyFill="1" applyBorder="1" applyAlignment="1">
      <alignment horizontal="center" vertical="center"/>
    </xf>
    <xf numFmtId="0" fontId="0" fillId="3" borderId="7" xfId="0" applyFill="1" applyBorder="1" applyAlignment="1">
      <alignment horizontal="center" vertical="center"/>
    </xf>
    <xf numFmtId="0" fontId="0" fillId="4" borderId="5" xfId="0" applyFill="1" applyBorder="1" applyAlignment="1">
      <alignment horizontal="center" vertical="center"/>
    </xf>
    <xf numFmtId="0" fontId="0" fillId="4" borderId="7" xfId="0" applyFill="1" applyBorder="1" applyAlignment="1">
      <alignment horizontal="center" vertical="center"/>
    </xf>
    <xf numFmtId="0" fontId="0" fillId="0" borderId="0" xfId="0" applyFill="1">
      <alignment vertical="center"/>
    </xf>
    <xf numFmtId="0" fontId="0" fillId="0" borderId="6" xfId="0" applyFill="1" applyBorder="1" applyAlignment="1">
      <alignment horizontal="center" vertical="center"/>
    </xf>
    <xf numFmtId="0" fontId="0" fillId="6" borderId="3" xfId="0" applyFill="1" applyBorder="1">
      <alignment vertical="center"/>
    </xf>
    <xf numFmtId="0" fontId="0" fillId="6" borderId="8" xfId="0" applyFill="1" applyBorder="1">
      <alignment vertical="center"/>
    </xf>
    <xf numFmtId="0" fontId="0" fillId="6" borderId="4" xfId="0" applyFill="1" applyBorder="1">
      <alignment vertical="center"/>
    </xf>
    <xf numFmtId="0" fontId="0" fillId="0" borderId="7" xfId="0" applyFill="1" applyBorder="1">
      <alignment vertical="center"/>
    </xf>
    <xf numFmtId="0" fontId="0" fillId="0" borderId="6" xfId="0" applyFill="1" applyBorder="1">
      <alignment vertical="center"/>
    </xf>
    <xf numFmtId="0" fontId="0" fillId="0" borderId="7" xfId="0" applyFill="1" applyBorder="1" applyAlignment="1">
      <alignment horizontal="center" vertical="center"/>
    </xf>
    <xf numFmtId="0" fontId="0" fillId="0" borderId="9" xfId="0" applyBorder="1" applyAlignment="1">
      <alignment horizontal="center" vertical="center"/>
    </xf>
    <xf numFmtId="0" fontId="0" fillId="0" borderId="10" xfId="0" applyBorder="1">
      <alignment vertical="center"/>
    </xf>
    <xf numFmtId="0" fontId="0" fillId="0" borderId="11" xfId="0" applyBorder="1">
      <alignment vertical="center"/>
    </xf>
    <xf numFmtId="0" fontId="0" fillId="0" borderId="9" xfId="0" applyBorder="1">
      <alignment vertical="center"/>
    </xf>
    <xf numFmtId="0" fontId="0" fillId="0" borderId="12" xfId="0" applyBorder="1">
      <alignment vertical="center"/>
    </xf>
    <xf numFmtId="0" fontId="0" fillId="0" borderId="10" xfId="0" applyBorder="1" applyAlignment="1">
      <alignment horizontal="center" vertical="center"/>
    </xf>
    <xf numFmtId="0" fontId="0" fillId="3" borderId="5" xfId="0" applyFill="1" applyBorder="1" applyAlignment="1">
      <alignment vertical="center"/>
    </xf>
    <xf numFmtId="0" fontId="0" fillId="3" borderId="7" xfId="0" applyFill="1" applyBorder="1" applyAlignment="1">
      <alignment vertical="center"/>
    </xf>
    <xf numFmtId="0" fontId="0" fillId="0" borderId="0" xfId="0" applyBorder="1">
      <alignment vertical="center"/>
    </xf>
    <xf numFmtId="0" fontId="5" fillId="0" borderId="13" xfId="0" applyFont="1" applyBorder="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273050</xdr:colOff>
          <xdr:row>2</xdr:row>
          <xdr:rowOff>298450</xdr:rowOff>
        </xdr:from>
        <xdr:to>
          <xdr:col>1</xdr:col>
          <xdr:colOff>1524000</xdr:colOff>
          <xdr:row>2</xdr:row>
          <xdr:rowOff>762000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出力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1790700</xdr:colOff>
          <xdr:row>2</xdr:row>
          <xdr:rowOff>285750</xdr:rowOff>
        </xdr:from>
        <xdr:to>
          <xdr:col>2</xdr:col>
          <xdr:colOff>476250</xdr:colOff>
          <xdr:row>2</xdr:row>
          <xdr:rowOff>749300</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データ読み込み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565150</xdr:colOff>
          <xdr:row>2</xdr:row>
          <xdr:rowOff>266700</xdr:rowOff>
        </xdr:from>
        <xdr:to>
          <xdr:col>3</xdr:col>
          <xdr:colOff>857250</xdr:colOff>
          <xdr:row>2</xdr:row>
          <xdr:rowOff>730250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ルール選択</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2</xdr:row>
          <xdr:rowOff>273050</xdr:rowOff>
        </xdr:from>
        <xdr:to>
          <xdr:col>5</xdr:col>
          <xdr:colOff>762000</xdr:colOff>
          <xdr:row>2</xdr:row>
          <xdr:rowOff>736600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ref更新</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F2251A-3AF4-4C70-A911-D9A5F9698B0F}">
  <sheetPr codeName="Sheet1"/>
  <dimension ref="A1:BA18"/>
  <sheetViews>
    <sheetView tabSelected="1" zoomScale="115" zoomScaleNormal="115" workbookViewId="0"/>
  </sheetViews>
  <sheetFormatPr defaultRowHeight="18" x14ac:dyDescent="0.55000000000000004"/>
  <cols>
    <col min="1" max="1" width="3.6640625" bestFit="1" customWidth="1"/>
    <col min="2" max="2" width="39.25" bestFit="1" customWidth="1"/>
    <col min="3" max="3" width="18.1640625" customWidth="1"/>
    <col min="4" max="4" width="14.33203125" bestFit="1" customWidth="1"/>
    <col min="5" max="5" width="12.25" bestFit="1" customWidth="1"/>
    <col min="6" max="6" width="14.33203125" bestFit="1" customWidth="1"/>
    <col min="7" max="9" width="6.75" bestFit="1" customWidth="1"/>
    <col min="10" max="10" width="10.4140625" bestFit="1" customWidth="1"/>
    <col min="11" max="11" width="6.75" bestFit="1" customWidth="1"/>
    <col min="12" max="15" width="5.9140625" bestFit="1" customWidth="1"/>
    <col min="16" max="16" width="6.83203125" bestFit="1" customWidth="1"/>
    <col min="17" max="17" width="63.1640625" customWidth="1"/>
    <col min="18" max="19" width="17.08203125" bestFit="1" customWidth="1"/>
    <col min="20" max="20" width="29.1640625" bestFit="1" customWidth="1"/>
    <col min="21" max="22" width="17.08203125" bestFit="1" customWidth="1"/>
    <col min="23" max="23" width="9.08203125" bestFit="1" customWidth="1"/>
    <col min="24" max="25" width="4.08203125" bestFit="1" customWidth="1"/>
    <col min="26" max="26" width="10.08203125" bestFit="1" customWidth="1"/>
    <col min="27" max="28" width="4.08203125" bestFit="1" customWidth="1"/>
    <col min="29" max="29" width="9.08203125" bestFit="1" customWidth="1"/>
    <col min="30" max="31" width="4.08203125" bestFit="1" customWidth="1"/>
    <col min="32" max="32" width="10.08203125" bestFit="1" customWidth="1"/>
    <col min="33" max="34" width="4.08203125" bestFit="1" customWidth="1"/>
    <col min="35" max="35" width="63.1640625" customWidth="1"/>
    <col min="36" max="36" width="17.08203125" customWidth="1"/>
    <col min="37" max="37" width="17.08203125" bestFit="1" customWidth="1"/>
    <col min="38" max="38" width="29.1640625" bestFit="1" customWidth="1"/>
    <col min="39" max="40" width="17.08203125" bestFit="1" customWidth="1"/>
    <col min="41" max="41" width="9.08203125" bestFit="1" customWidth="1"/>
    <col min="42" max="43" width="4.08203125" bestFit="1" customWidth="1"/>
    <col min="44" max="44" width="10.08203125" bestFit="1" customWidth="1"/>
    <col min="45" max="46" width="4.08203125" bestFit="1" customWidth="1"/>
    <col min="47" max="47" width="9.08203125" bestFit="1" customWidth="1"/>
    <col min="48" max="49" width="4.08203125" bestFit="1" customWidth="1"/>
    <col min="50" max="50" width="10.08203125" bestFit="1" customWidth="1"/>
    <col min="51" max="52" width="4.08203125" bestFit="1" customWidth="1"/>
    <col min="53" max="53" width="96.58203125" customWidth="1"/>
  </cols>
  <sheetData>
    <row r="1" spans="1:53" ht="29.5" thickBot="1" x14ac:dyDescent="0.6">
      <c r="A1" s="1" t="s">
        <v>2</v>
      </c>
      <c r="C1" s="8"/>
      <c r="D1" s="36"/>
    </row>
    <row r="2" spans="1:53" ht="32" customHeight="1" thickBot="1" x14ac:dyDescent="0.6">
      <c r="C2" s="8" t="s">
        <v>177</v>
      </c>
      <c r="D2" s="37" t="s">
        <v>190</v>
      </c>
    </row>
    <row r="3" spans="1:53" ht="72" customHeight="1" x14ac:dyDescent="0.55000000000000004"/>
    <row r="4" spans="1:53" ht="37.5" customHeight="1" x14ac:dyDescent="0.55000000000000004">
      <c r="A4" s="2" t="s">
        <v>0</v>
      </c>
      <c r="B4" s="2" t="s">
        <v>3</v>
      </c>
      <c r="C4" s="2" t="s">
        <v>5</v>
      </c>
      <c r="D4" s="3" t="s">
        <v>10</v>
      </c>
      <c r="E4" s="3" t="s">
        <v>99</v>
      </c>
      <c r="F4" s="3" t="s">
        <v>100</v>
      </c>
      <c r="G4" s="12" t="s">
        <v>11</v>
      </c>
      <c r="H4" s="12" t="s">
        <v>12</v>
      </c>
      <c r="I4" s="12" t="s">
        <v>13</v>
      </c>
      <c r="J4" s="12" t="s">
        <v>14</v>
      </c>
      <c r="K4" s="12" t="s">
        <v>15</v>
      </c>
      <c r="L4" s="12" t="s">
        <v>16</v>
      </c>
      <c r="M4" s="12" t="s">
        <v>17</v>
      </c>
      <c r="N4" s="12" t="s">
        <v>18</v>
      </c>
      <c r="O4" s="12" t="s">
        <v>31</v>
      </c>
      <c r="P4" s="12" t="s">
        <v>32</v>
      </c>
      <c r="Q4" s="34" t="s">
        <v>27</v>
      </c>
      <c r="R4" s="35" t="s">
        <v>252</v>
      </c>
      <c r="S4" s="35" t="s">
        <v>253</v>
      </c>
      <c r="T4" s="34" t="s">
        <v>30</v>
      </c>
      <c r="U4" s="35" t="s">
        <v>252</v>
      </c>
      <c r="V4" s="35" t="s">
        <v>253</v>
      </c>
      <c r="W4" s="18" t="s">
        <v>29</v>
      </c>
      <c r="X4" s="19"/>
      <c r="Y4" s="19"/>
      <c r="Z4" s="18" t="s">
        <v>28</v>
      </c>
      <c r="AA4" s="19"/>
      <c r="AB4" s="19"/>
      <c r="AC4" s="14" t="s">
        <v>39</v>
      </c>
      <c r="AD4" s="15"/>
      <c r="AE4" s="15"/>
      <c r="AF4" s="14" t="s">
        <v>40</v>
      </c>
      <c r="AG4" s="15"/>
      <c r="AH4" s="15"/>
      <c r="AI4" s="16" t="s">
        <v>49</v>
      </c>
      <c r="AJ4" s="17"/>
      <c r="AK4" s="17"/>
      <c r="AL4" s="16" t="s">
        <v>50</v>
      </c>
      <c r="AM4" s="17"/>
      <c r="AN4" s="17"/>
      <c r="AO4" s="18" t="s">
        <v>51</v>
      </c>
      <c r="AP4" s="19"/>
      <c r="AQ4" s="19"/>
      <c r="AR4" s="18" t="s">
        <v>52</v>
      </c>
      <c r="AS4" s="19"/>
      <c r="AT4" s="19"/>
      <c r="AU4" s="14" t="s">
        <v>53</v>
      </c>
      <c r="AV4" s="15"/>
      <c r="AW4" s="15"/>
      <c r="AX4" s="14" t="s">
        <v>54</v>
      </c>
      <c r="AY4" s="15"/>
      <c r="AZ4" s="15"/>
      <c r="BA4" s="9" t="s">
        <v>189</v>
      </c>
    </row>
    <row r="5" spans="1:53" s="32" customFormat="1" ht="37.5" customHeight="1" thickBot="1" x14ac:dyDescent="0.6">
      <c r="A5" s="28"/>
      <c r="B5" s="28"/>
      <c r="C5" s="28"/>
      <c r="D5" s="28"/>
      <c r="E5" s="28" t="s">
        <v>99</v>
      </c>
      <c r="F5" s="28" t="s">
        <v>250</v>
      </c>
      <c r="G5" s="33" t="str">
        <f>ref!B3</f>
        <v>攻撃力</v>
      </c>
      <c r="H5" s="33" t="str">
        <f>ref!B4</f>
        <v>守備力</v>
      </c>
      <c r="I5" s="33" t="str">
        <f>ref!B5</f>
        <v>属性</v>
      </c>
      <c r="J5" s="33" t="str">
        <f>ref!B6</f>
        <v>種族</v>
      </c>
      <c r="K5" s="33" t="str">
        <f>ref!B7</f>
        <v>レベル</v>
      </c>
      <c r="L5" s="33">
        <f>ref!B8</f>
        <v>0</v>
      </c>
      <c r="M5" s="33">
        <f>ref!B9</f>
        <v>0</v>
      </c>
      <c r="N5" s="33">
        <f>ref!B10</f>
        <v>0</v>
      </c>
      <c r="O5" s="33">
        <f>ref!B11</f>
        <v>0</v>
      </c>
      <c r="P5" s="33">
        <f>ref!B12</f>
        <v>0</v>
      </c>
      <c r="Q5" s="29"/>
      <c r="R5" s="30"/>
      <c r="S5" s="30"/>
      <c r="T5" s="29"/>
      <c r="U5" s="30"/>
      <c r="V5" s="30"/>
      <c r="W5" s="29"/>
      <c r="X5" s="30"/>
      <c r="Y5" s="30"/>
      <c r="Z5" s="29"/>
      <c r="AA5" s="30"/>
      <c r="AB5" s="30"/>
      <c r="AC5" s="29"/>
      <c r="AD5" s="30"/>
      <c r="AE5" s="30"/>
      <c r="AF5" s="29"/>
      <c r="AG5" s="30"/>
      <c r="AH5" s="30"/>
      <c r="AI5" s="29"/>
      <c r="AJ5" s="30"/>
      <c r="AK5" s="30"/>
      <c r="AL5" s="29"/>
      <c r="AM5" s="30"/>
      <c r="AN5" s="30"/>
      <c r="AO5" s="29"/>
      <c r="AP5" s="30"/>
      <c r="AQ5" s="30"/>
      <c r="AR5" s="29"/>
      <c r="AS5" s="30"/>
      <c r="AT5" s="30"/>
      <c r="AU5" s="29"/>
      <c r="AV5" s="30"/>
      <c r="AW5" s="30"/>
      <c r="AX5" s="29"/>
      <c r="AY5" s="30"/>
      <c r="AZ5" s="30"/>
      <c r="BA5" s="31"/>
    </row>
    <row r="6" spans="1:53" x14ac:dyDescent="0.55000000000000004">
      <c r="A6">
        <v>1</v>
      </c>
      <c r="B6" t="s">
        <v>20</v>
      </c>
      <c r="C6" t="s">
        <v>8</v>
      </c>
      <c r="D6">
        <v>1</v>
      </c>
      <c r="E6" t="s">
        <v>19</v>
      </c>
      <c r="F6" t="s">
        <v>178</v>
      </c>
      <c r="G6">
        <v>2500</v>
      </c>
      <c r="H6">
        <v>2100</v>
      </c>
      <c r="I6" t="s">
        <v>245</v>
      </c>
      <c r="J6" t="s">
        <v>246</v>
      </c>
      <c r="K6">
        <v>7</v>
      </c>
      <c r="Q6" t="s">
        <v>179</v>
      </c>
      <c r="T6" t="s">
        <v>180</v>
      </c>
      <c r="U6" t="s">
        <v>20</v>
      </c>
    </row>
    <row r="7" spans="1:53" x14ac:dyDescent="0.55000000000000004">
      <c r="A7">
        <v>2</v>
      </c>
      <c r="B7" t="s">
        <v>181</v>
      </c>
      <c r="C7" t="s">
        <v>7</v>
      </c>
      <c r="D7">
        <v>2</v>
      </c>
      <c r="E7" t="s">
        <v>182</v>
      </c>
      <c r="F7" t="s">
        <v>183</v>
      </c>
      <c r="Q7" t="s">
        <v>184</v>
      </c>
      <c r="R7" t="s">
        <v>185</v>
      </c>
      <c r="S7" t="s">
        <v>186</v>
      </c>
      <c r="T7" t="s">
        <v>187</v>
      </c>
      <c r="U7">
        <v>2</v>
      </c>
    </row>
    <row r="8" spans="1:53" x14ac:dyDescent="0.55000000000000004">
      <c r="A8">
        <v>3</v>
      </c>
      <c r="B8" s="5" t="s">
        <v>48</v>
      </c>
      <c r="C8" t="s">
        <v>251</v>
      </c>
      <c r="D8">
        <v>3</v>
      </c>
      <c r="E8" t="s">
        <v>19</v>
      </c>
      <c r="F8" t="s">
        <v>178</v>
      </c>
      <c r="G8">
        <v>3000</v>
      </c>
      <c r="H8">
        <v>2500</v>
      </c>
      <c r="J8" t="s">
        <v>247</v>
      </c>
      <c r="K8">
        <v>8</v>
      </c>
    </row>
    <row r="9" spans="1:53" x14ac:dyDescent="0.55000000000000004">
      <c r="A9">
        <v>4</v>
      </c>
      <c r="B9" t="s">
        <v>248</v>
      </c>
      <c r="D9">
        <v>4</v>
      </c>
      <c r="E9" t="s">
        <v>249</v>
      </c>
      <c r="F9" t="s">
        <v>188</v>
      </c>
    </row>
    <row r="17" spans="2:2" x14ac:dyDescent="0.55000000000000004">
      <c r="B17" s="5"/>
    </row>
    <row r="18" spans="2:2" x14ac:dyDescent="0.55000000000000004">
      <c r="B18" s="5"/>
    </row>
  </sheetData>
  <mergeCells count="10">
    <mergeCell ref="AC4:AE4"/>
    <mergeCell ref="W4:Y4"/>
    <mergeCell ref="AF4:AH4"/>
    <mergeCell ref="Z4:AB4"/>
    <mergeCell ref="AU4:AW4"/>
    <mergeCell ref="AX4:AZ4"/>
    <mergeCell ref="AI4:AK4"/>
    <mergeCell ref="AL4:AN4"/>
    <mergeCell ref="AO4:AQ4"/>
    <mergeCell ref="AR4:AT4"/>
  </mergeCells>
  <phoneticPr fontId="1"/>
  <dataValidations count="5">
    <dataValidation type="list" allowBlank="1" showInputMessage="1" showErrorMessage="1" sqref="I59" xr:uid="{FC0E7DE9-3FE3-48C1-9987-5BB24F0829C6}">
      <formula1>属性</formula1>
    </dataValidation>
    <dataValidation type="list" operator="equal" allowBlank="1" showInputMessage="1" showErrorMessage="1" sqref="I51 I52 I53 I54 I55 I6 I7 I8 I9 I10 I11 I12 I13 I14 I15 I16 I17 I18 I19 I20 I21 I22 I23 I24 I25 I26 I27 I28 I29 I30 I31 I32 I33 I34 I35 I36 I37 I38 I39 I40 I41 I42 I43 I44 I45 I46 I47 I48 I49 I50" xr:uid="{56F609FC-037A-4DCB-8A89-3C2CC9FB4AFE}">
      <formula1>属性</formula1>
    </dataValidation>
    <dataValidation type="list" operator="equal" allowBlank="1" showInputMessage="1" showErrorMessage="1" sqref="J51 J52 J53 J54 J55 J6 J7 J8 J9 J10 J11 J12 J13 J14 J15 J16 J17 J18 J19 J20 J21 J22 J23 J24 J25 J26 J27 J28 J29 J30 J31 J32 J33 J34 J35 J36 J37 J38 J39 J40 J41 J42 J43 J44 J45 J46 J47 J48 J49 J50" xr:uid="{294E9ADE-78E7-473F-A15E-A34C35CCECAF}">
      <formula1>種族</formula1>
    </dataValidation>
    <dataValidation type="list" operator="equal" allowBlank="1" showInputMessage="1" showErrorMessage="1" sqref="E1 E2 E3 E4 E5 E6 E7 E8 E9 E10 E11 E12 E13 E14 E15 E16 E17 E18 E19 E20 E21 E22 E23 E24 E25 E26 E27 E28 E29 E30 E31 E32 E33 E34 E35 E36 E37 E38 E39 E40 E41 E42 E43 E44 E45 E46 E47 E48 E49 E50 E51 E52 E53 E54 E55" xr:uid="{3F5D2227-D464-4272-AFF8-6D5C75F68D24}">
      <formula1>タイプ</formula1>
    </dataValidation>
    <dataValidation type="list" operator="equal" allowBlank="1" showInputMessage="1" showErrorMessage="1" sqref="F1 F2 F3 F4 F5 F6 F7 F8 F9 F10 F11 F12 F13 F14 F15 F16 F17 F18 F19 F20 F21 F22 F23 F24 F25 F26 F27 F28 F29 F30 F31 F32 F33 F34 F35 F36 F37 F38 F39 F40 F41 F42 F43 F44 F45 F46 F47 F48 F49 F50 F51 F52 F53 F54 F55" xr:uid="{8FE92981-2DAA-44F3-9043-D5DCF2AEAB5E}">
      <formula1>タイプ詳細</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1" r:id="rId4" name="Button 17">
              <controlPr defaultSize="0" print="0" autoFill="0" autoPict="0" macro="[0]!Output">
                <anchor moveWithCells="1" sizeWithCells="1">
                  <from>
                    <xdr:col>1</xdr:col>
                    <xdr:colOff>273050</xdr:colOff>
                    <xdr:row>2</xdr:row>
                    <xdr:rowOff>298450</xdr:rowOff>
                  </from>
                  <to>
                    <xdr:col>1</xdr:col>
                    <xdr:colOff>1524000</xdr:colOff>
                    <xdr:row>2</xdr:row>
                    <xdr:rowOff>762000</xdr:rowOff>
                  </to>
                </anchor>
              </controlPr>
            </control>
          </mc:Choice>
        </mc:AlternateContent>
        <mc:AlternateContent xmlns:mc="http://schemas.openxmlformats.org/markup-compatibility/2006">
          <mc:Choice Requires="x14">
            <control shapeId="1047" r:id="rId5" name="Button 23">
              <controlPr defaultSize="0" print="0" autoFill="0" autoPict="0" macro="[0]!LoadData">
                <anchor moveWithCells="1" sizeWithCells="1">
                  <from>
                    <xdr:col>1</xdr:col>
                    <xdr:colOff>1790700</xdr:colOff>
                    <xdr:row>2</xdr:row>
                    <xdr:rowOff>285750</xdr:rowOff>
                  </from>
                  <to>
                    <xdr:col>2</xdr:col>
                    <xdr:colOff>476250</xdr:colOff>
                    <xdr:row>2</xdr:row>
                    <xdr:rowOff>749300</xdr:rowOff>
                  </to>
                </anchor>
              </controlPr>
            </control>
          </mc:Choice>
        </mc:AlternateContent>
        <mc:AlternateContent xmlns:mc="http://schemas.openxmlformats.org/markup-compatibility/2006">
          <mc:Choice Requires="x14">
            <control shapeId="1051" r:id="rId6" name="Button 27">
              <controlPr defaultSize="0" print="0" autoFill="0" autoPict="0" macro="[0]!LoadRule">
                <anchor moveWithCells="1" sizeWithCells="1">
                  <from>
                    <xdr:col>2</xdr:col>
                    <xdr:colOff>565150</xdr:colOff>
                    <xdr:row>2</xdr:row>
                    <xdr:rowOff>266700</xdr:rowOff>
                  </from>
                  <to>
                    <xdr:col>3</xdr:col>
                    <xdr:colOff>857250</xdr:colOff>
                    <xdr:row>2</xdr:row>
                    <xdr:rowOff>730250</xdr:rowOff>
                  </to>
                </anchor>
              </controlPr>
            </control>
          </mc:Choice>
        </mc:AlternateContent>
        <mc:AlternateContent xmlns:mc="http://schemas.openxmlformats.org/markup-compatibility/2006">
          <mc:Choice Requires="x14">
            <control shapeId="1052" r:id="rId7" name="Button 28">
              <controlPr defaultSize="0" print="0" autoFill="0" autoPict="0" macro="[0]!UpdateRef">
                <anchor moveWithCells="1" sizeWithCells="1">
                  <from>
                    <xdr:col>4</xdr:col>
                    <xdr:colOff>19050</xdr:colOff>
                    <xdr:row>2</xdr:row>
                    <xdr:rowOff>273050</xdr:rowOff>
                  </from>
                  <to>
                    <xdr:col>5</xdr:col>
                    <xdr:colOff>762000</xdr:colOff>
                    <xdr:row>2</xdr:row>
                    <xdr:rowOff>736600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4E7342-370D-4606-8BDB-25B4053423CF}">
  <sheetPr codeName="Sheet3"/>
  <dimension ref="A1:BD18"/>
  <sheetViews>
    <sheetView zoomScale="115" zoomScaleNormal="115" workbookViewId="0"/>
  </sheetViews>
  <sheetFormatPr defaultRowHeight="18" x14ac:dyDescent="0.55000000000000004"/>
  <cols>
    <col min="1" max="1" width="3.6640625" bestFit="1" customWidth="1"/>
    <col min="2" max="2" width="25.5" customWidth="1"/>
    <col min="3" max="3" width="15.75" customWidth="1"/>
    <col min="4" max="4" width="7.1640625" bestFit="1" customWidth="1"/>
    <col min="5" max="5" width="10.4140625" bestFit="1" customWidth="1"/>
    <col min="6" max="6" width="14.33203125" bestFit="1" customWidth="1"/>
    <col min="7" max="15" width="7.4140625" style="20" bestFit="1" customWidth="1"/>
    <col min="16" max="16" width="8.4140625" style="20" bestFit="1" customWidth="1"/>
    <col min="17" max="17" width="67.5" bestFit="1" customWidth="1"/>
    <col min="18" max="19" width="18.1640625" style="20" bestFit="1" customWidth="1"/>
    <col min="20" max="20" width="32.83203125" bestFit="1" customWidth="1"/>
    <col min="21" max="22" width="12.75" style="20" bestFit="1" customWidth="1"/>
    <col min="23" max="23" width="13.25" bestFit="1" customWidth="1"/>
    <col min="24" max="25" width="18.1640625" style="20" bestFit="1" customWidth="1"/>
    <col min="26" max="26" width="8" bestFit="1" customWidth="1"/>
    <col min="27" max="28" width="12.75" style="20" bestFit="1" customWidth="1"/>
    <col min="29" max="29" width="13.25" bestFit="1" customWidth="1"/>
    <col min="30" max="30" width="4.08203125" bestFit="1" customWidth="1"/>
    <col min="31" max="31" width="18.1640625" style="20" bestFit="1" customWidth="1"/>
    <col min="32" max="32" width="4.08203125" bestFit="1" customWidth="1"/>
    <col min="33" max="33" width="18.1640625" style="20" bestFit="1" customWidth="1"/>
    <col min="34" max="34" width="8" bestFit="1" customWidth="1"/>
    <col min="35" max="35" width="4.08203125" bestFit="1" customWidth="1"/>
    <col min="36" max="36" width="12.75" style="20" bestFit="1" customWidth="1"/>
    <col min="37" max="37" width="4.08203125" bestFit="1" customWidth="1"/>
    <col min="38" max="38" width="12.75" style="20" bestFit="1" customWidth="1"/>
    <col min="39" max="39" width="13.5" bestFit="1" customWidth="1"/>
    <col min="40" max="41" width="18.4140625" style="20" bestFit="1" customWidth="1"/>
    <col min="42" max="42" width="8.25" bestFit="1" customWidth="1"/>
    <col min="43" max="44" width="13.08203125" style="20" bestFit="1" customWidth="1"/>
    <col min="45" max="45" width="13.5" bestFit="1" customWidth="1"/>
    <col min="46" max="47" width="18.4140625" style="20" bestFit="1" customWidth="1"/>
    <col min="48" max="48" width="8.25" bestFit="1" customWidth="1"/>
    <col min="49" max="50" width="13.08203125" style="20" bestFit="1" customWidth="1"/>
    <col min="51" max="51" width="13.5" bestFit="1" customWidth="1"/>
    <col min="52" max="53" width="18.4140625" style="20" bestFit="1" customWidth="1"/>
    <col min="54" max="54" width="8.25" bestFit="1" customWidth="1"/>
    <col min="55" max="56" width="13.08203125" style="20" bestFit="1" customWidth="1"/>
  </cols>
  <sheetData>
    <row r="1" spans="1:56" ht="29" x14ac:dyDescent="0.55000000000000004">
      <c r="A1" s="1"/>
      <c r="C1" s="8"/>
    </row>
    <row r="2" spans="1:56" ht="72" customHeight="1" x14ac:dyDescent="0.55000000000000004"/>
    <row r="3" spans="1:56" ht="37.5" customHeight="1" x14ac:dyDescent="0.55000000000000004">
      <c r="A3" s="2" t="s">
        <v>0</v>
      </c>
      <c r="B3" s="2" t="s">
        <v>3</v>
      </c>
      <c r="C3" s="2" t="s">
        <v>5</v>
      </c>
      <c r="D3" s="3" t="s">
        <v>10</v>
      </c>
      <c r="E3" s="3" t="s">
        <v>99</v>
      </c>
      <c r="F3" s="3" t="s">
        <v>100</v>
      </c>
      <c r="G3" s="13" t="s">
        <v>11</v>
      </c>
      <c r="H3" s="13" t="s">
        <v>12</v>
      </c>
      <c r="I3" s="13" t="s">
        <v>13</v>
      </c>
      <c r="J3" s="13" t="s">
        <v>14</v>
      </c>
      <c r="K3" s="13" t="s">
        <v>15</v>
      </c>
      <c r="L3" s="13" t="s">
        <v>16</v>
      </c>
      <c r="M3" s="13" t="s">
        <v>17</v>
      </c>
      <c r="N3" s="13" t="s">
        <v>18</v>
      </c>
      <c r="O3" s="13" t="s">
        <v>31</v>
      </c>
      <c r="P3" s="13" t="s">
        <v>32</v>
      </c>
      <c r="Q3" s="16" t="s">
        <v>27</v>
      </c>
      <c r="R3" s="27"/>
      <c r="S3" s="27"/>
      <c r="T3" s="16" t="s">
        <v>30</v>
      </c>
      <c r="U3" s="27"/>
      <c r="V3" s="27"/>
      <c r="W3" s="18" t="s">
        <v>29</v>
      </c>
      <c r="X3" s="27"/>
      <c r="Y3" s="27"/>
      <c r="Z3" s="18" t="s">
        <v>28</v>
      </c>
      <c r="AA3" s="27"/>
      <c r="AB3" s="27"/>
      <c r="AC3" s="14" t="s">
        <v>39</v>
      </c>
      <c r="AD3" s="15"/>
      <c r="AE3" s="27"/>
      <c r="AF3" s="15"/>
      <c r="AG3" s="27"/>
      <c r="AH3" s="14" t="s">
        <v>40</v>
      </c>
      <c r="AI3" s="15"/>
      <c r="AJ3" s="27"/>
      <c r="AK3" s="15"/>
      <c r="AL3" s="27"/>
      <c r="AM3" s="16" t="s">
        <v>49</v>
      </c>
      <c r="AN3" s="27"/>
      <c r="AO3" s="27"/>
      <c r="AP3" s="16" t="s">
        <v>50</v>
      </c>
      <c r="AQ3" s="27"/>
      <c r="AR3" s="27"/>
      <c r="AS3" s="18" t="s">
        <v>51</v>
      </c>
      <c r="AT3" s="19"/>
      <c r="AU3" s="19"/>
      <c r="AV3" s="18" t="s">
        <v>52</v>
      </c>
      <c r="AW3" s="19"/>
      <c r="AX3" s="19"/>
      <c r="AY3" s="14" t="s">
        <v>53</v>
      </c>
      <c r="AZ3" s="15"/>
      <c r="BA3" s="15"/>
      <c r="BB3" s="14" t="s">
        <v>54</v>
      </c>
      <c r="BC3" s="15"/>
      <c r="BD3" s="15"/>
    </row>
    <row r="4" spans="1:56" ht="37.5" customHeight="1" x14ac:dyDescent="0.55000000000000004">
      <c r="A4" s="6"/>
      <c r="B4" s="6"/>
      <c r="C4" s="6"/>
      <c r="D4" s="7"/>
      <c r="E4" s="7"/>
      <c r="F4" s="7"/>
      <c r="G4" s="21"/>
      <c r="H4" s="21"/>
      <c r="I4" s="21"/>
      <c r="J4" s="21"/>
      <c r="K4" s="21"/>
      <c r="L4" s="21"/>
      <c r="M4" s="21"/>
      <c r="N4" s="21"/>
      <c r="O4" s="21"/>
      <c r="P4" s="21"/>
      <c r="Q4" s="10"/>
      <c r="R4" s="25"/>
      <c r="S4" s="26"/>
      <c r="T4" s="10"/>
      <c r="U4" s="25"/>
      <c r="V4" s="25"/>
      <c r="W4" s="10"/>
      <c r="X4" s="25"/>
      <c r="Y4" s="26"/>
      <c r="Z4" s="10"/>
      <c r="AA4" s="25"/>
      <c r="AB4" s="25"/>
      <c r="AC4" s="10"/>
      <c r="AD4" s="11"/>
      <c r="AE4" s="25"/>
      <c r="AF4" s="11"/>
      <c r="AG4" s="26"/>
      <c r="AH4" s="10"/>
      <c r="AI4" s="11"/>
      <c r="AJ4" s="25"/>
      <c r="AK4" s="11"/>
      <c r="AL4" s="25"/>
      <c r="AM4" s="10"/>
      <c r="AN4" s="25"/>
      <c r="AO4" s="26"/>
      <c r="AP4" s="10"/>
      <c r="AQ4" s="25"/>
      <c r="AR4" s="25"/>
      <c r="AS4" s="10"/>
      <c r="AT4" s="25"/>
      <c r="AU4" s="26"/>
      <c r="AV4" s="10"/>
      <c r="AW4" s="25"/>
      <c r="AX4" s="25"/>
      <c r="AY4" s="10"/>
      <c r="AZ4" s="25"/>
      <c r="BA4" s="26"/>
      <c r="BB4" s="10"/>
      <c r="BC4" s="25"/>
      <c r="BD4" s="25"/>
    </row>
    <row r="5" spans="1:56" s="24" customFormat="1" ht="18.5" thickBot="1" x14ac:dyDescent="0.6">
      <c r="A5" s="22" t="s">
        <v>1</v>
      </c>
      <c r="B5" s="22" t="s">
        <v>4</v>
      </c>
      <c r="C5" s="22" t="s">
        <v>6</v>
      </c>
      <c r="D5" s="22" t="s">
        <v>9</v>
      </c>
      <c r="E5" s="22" t="s">
        <v>101</v>
      </c>
      <c r="F5" s="22" t="s">
        <v>102</v>
      </c>
      <c r="G5" s="22" t="s">
        <v>21</v>
      </c>
      <c r="H5" s="22" t="s">
        <v>22</v>
      </c>
      <c r="I5" s="22" t="s">
        <v>23</v>
      </c>
      <c r="J5" s="22" t="s">
        <v>24</v>
      </c>
      <c r="K5" s="22" t="s">
        <v>25</v>
      </c>
      <c r="L5" s="22" t="s">
        <v>26</v>
      </c>
      <c r="M5" s="22" t="s">
        <v>44</v>
      </c>
      <c r="N5" s="22" t="s">
        <v>45</v>
      </c>
      <c r="O5" s="22" t="s">
        <v>46</v>
      </c>
      <c r="P5" s="22" t="s">
        <v>47</v>
      </c>
      <c r="Q5" s="22" t="s">
        <v>55</v>
      </c>
      <c r="R5" s="22" t="s">
        <v>56</v>
      </c>
      <c r="S5" s="22" t="s">
        <v>57</v>
      </c>
      <c r="T5" s="22" t="s">
        <v>33</v>
      </c>
      <c r="U5" s="22" t="s">
        <v>34</v>
      </c>
      <c r="V5" s="22" t="s">
        <v>35</v>
      </c>
      <c r="W5" s="22" t="s">
        <v>58</v>
      </c>
      <c r="X5" s="22" t="s">
        <v>59</v>
      </c>
      <c r="Y5" s="22" t="s">
        <v>60</v>
      </c>
      <c r="Z5" s="22" t="s">
        <v>36</v>
      </c>
      <c r="AA5" s="22" t="s">
        <v>37</v>
      </c>
      <c r="AB5" s="22" t="s">
        <v>38</v>
      </c>
      <c r="AC5" s="22" t="s">
        <v>61</v>
      </c>
      <c r="AD5" s="22"/>
      <c r="AE5" s="22" t="s">
        <v>62</v>
      </c>
      <c r="AF5" s="22"/>
      <c r="AG5" s="22" t="s">
        <v>63</v>
      </c>
      <c r="AH5" s="22" t="s">
        <v>41</v>
      </c>
      <c r="AI5" s="22"/>
      <c r="AJ5" s="22" t="s">
        <v>42</v>
      </c>
      <c r="AK5" s="22"/>
      <c r="AL5" s="22" t="s">
        <v>43</v>
      </c>
      <c r="AM5" s="22" t="s">
        <v>64</v>
      </c>
      <c r="AN5" s="22" t="s">
        <v>65</v>
      </c>
      <c r="AO5" s="22" t="s">
        <v>66</v>
      </c>
      <c r="AP5" s="22" t="s">
        <v>67</v>
      </c>
      <c r="AQ5" s="22" t="s">
        <v>68</v>
      </c>
      <c r="AR5" s="22" t="s">
        <v>69</v>
      </c>
      <c r="AS5" s="22" t="s">
        <v>70</v>
      </c>
      <c r="AT5" s="22" t="s">
        <v>71</v>
      </c>
      <c r="AU5" s="22" t="s">
        <v>72</v>
      </c>
      <c r="AV5" s="22" t="s">
        <v>73</v>
      </c>
      <c r="AW5" s="22" t="s">
        <v>74</v>
      </c>
      <c r="AX5" s="22" t="s">
        <v>75</v>
      </c>
      <c r="AY5" s="22" t="s">
        <v>76</v>
      </c>
      <c r="AZ5" s="22" t="s">
        <v>77</v>
      </c>
      <c r="BA5" s="22" t="s">
        <v>78</v>
      </c>
      <c r="BB5" s="22" t="s">
        <v>79</v>
      </c>
      <c r="BC5" s="22" t="s">
        <v>80</v>
      </c>
      <c r="BD5" s="23" t="s">
        <v>81</v>
      </c>
    </row>
    <row r="6" spans="1:56" ht="18.5" thickTop="1" x14ac:dyDescent="0.55000000000000004">
      <c r="A6">
        <f>IF(ISBLANK(card_database!$A$6),-1,card_database!$A$6)</f>
        <v>1</v>
      </c>
      <c r="B6" t="str">
        <f>IF(ISBLANK(card_database!$B$6),-1,card_database!$B$6)</f>
        <v>ブラック・マジシャン</v>
      </c>
      <c r="C6" t="str">
        <f>IF(ISBLANK(card_database!$C$6),-1,card_database!$C$6)</f>
        <v>魔法使いとしては、攻撃力・守備力ともに最高クラス。</v>
      </c>
      <c r="D6">
        <f>IF(ISBLANK(card_database!$D$6),-1,card_database!$D$6)</f>
        <v>1</v>
      </c>
      <c r="E6">
        <f>IF(ISBLANK(card_database!$E$6),-1,MATCH(card_database!$E$6,タイプ, 0) - 1)</f>
        <v>0</v>
      </c>
      <c r="F6">
        <f>IF(ISBLANK(card_database!$F$6),-1,MATCH(card_database!$F$6,タイプ詳細, 0) - 1)</f>
        <v>0</v>
      </c>
      <c r="G6" s="20">
        <f>IF(ISBLANK(card_database!$G$6),-1,card_database!$G$6)</f>
        <v>2500</v>
      </c>
      <c r="H6" s="20">
        <f>IF(ISBLANK(card_database!$H$6),-1,card_database!$H$6)</f>
        <v>2100</v>
      </c>
      <c r="I6" s="20">
        <f>IF(ISBLANK(card_database!$I$6),-1,MATCH(card_database!$I$6,属性, 0) - 1)</f>
        <v>0</v>
      </c>
      <c r="J6" s="20">
        <f>IF(ISBLANK(card_database!$J$6),-1,MATCH(card_database!$J$6,種族, 0) - 1)</f>
        <v>0</v>
      </c>
      <c r="K6" s="20">
        <f>IF(ISBLANK(card_database!$K$6),-1,card_database!$K$6)</f>
        <v>7</v>
      </c>
      <c r="L6" s="20">
        <f>IF(ISBLANK(card_database!$L$6),-1,card_database!$L$6)</f>
        <v>-1</v>
      </c>
      <c r="M6" s="20">
        <f>IF(ISBLANK(card_database!$M$6),-1,card_database!$M$6)</f>
        <v>-1</v>
      </c>
      <c r="N6" s="20">
        <f>IF(ISBLANK(card_database!$N$6),-1,card_database!$N$6)</f>
        <v>-1</v>
      </c>
      <c r="O6" s="20">
        <f>IF(ISBLANK(card_database!$O$6),-1,card_database!$O$6)</f>
        <v>-1</v>
      </c>
      <c r="P6" s="20">
        <f>IF(ISBLANK(card_database!$P$6),-1,card_database!$P$6)</f>
        <v>-1</v>
      </c>
      <c r="Q6" t="s">
        <v>179</v>
      </c>
      <c r="R6" s="20">
        <v>-1</v>
      </c>
      <c r="S6" s="20">
        <v>-1</v>
      </c>
      <c r="T6" t="s">
        <v>180</v>
      </c>
      <c r="U6" s="20">
        <v>-1</v>
      </c>
      <c r="V6" s="20">
        <v>-1</v>
      </c>
      <c r="X6" s="20">
        <v>-1</v>
      </c>
      <c r="Y6" s="20">
        <v>-1</v>
      </c>
      <c r="AA6" s="20">
        <v>-1</v>
      </c>
      <c r="AB6" s="20">
        <v>-1</v>
      </c>
      <c r="AE6" s="20">
        <v>-1</v>
      </c>
      <c r="AG6" s="20">
        <v>-1</v>
      </c>
      <c r="AJ6" s="20">
        <v>-1</v>
      </c>
      <c r="AL6" s="20">
        <v>-1</v>
      </c>
      <c r="AN6" s="20">
        <v>-1</v>
      </c>
      <c r="AO6" s="20">
        <v>-1</v>
      </c>
      <c r="AQ6" s="20">
        <v>-1</v>
      </c>
      <c r="AR6" s="20">
        <v>-1</v>
      </c>
      <c r="AT6" s="20">
        <v>-1</v>
      </c>
      <c r="AU6" s="20">
        <v>-1</v>
      </c>
      <c r="AW6" s="20">
        <v>-1</v>
      </c>
      <c r="AX6" s="20">
        <v>-1</v>
      </c>
      <c r="AZ6" s="20">
        <v>-1</v>
      </c>
      <c r="BA6" s="20">
        <v>-1</v>
      </c>
      <c r="BC6" s="20">
        <v>-1</v>
      </c>
      <c r="BD6" s="20">
        <v>-1</v>
      </c>
    </row>
    <row r="7" spans="1:56" x14ac:dyDescent="0.55000000000000004">
      <c r="A7">
        <f>IF(ISBLANK(card_database!$A$7),-1,card_database!$A$7)</f>
        <v>2</v>
      </c>
      <c r="B7" t="str">
        <f>IF(ISBLANK(card_database!$B$7),-1,card_database!$B$7)</f>
        <v>強欲な壺</v>
      </c>
      <c r="C7" t="str">
        <f>IF(ISBLANK(card_database!$C$7),-1,card_database!$C$7)</f>
        <v>１ターンに１度、自分のメインフェイズ時にこのカードの攻撃力を４００ポイントアップできる。この効果を発動するターン、このカードは攻撃できない。</v>
      </c>
      <c r="D7">
        <f>IF(ISBLANK(card_database!$D$7),-1,card_database!$D$7)</f>
        <v>2</v>
      </c>
      <c r="E7">
        <f>IF(ISBLANK(card_database!$E$7),-1,MATCH(card_database!$E$7,タイプ, 0) - 1)</f>
        <v>2</v>
      </c>
      <c r="F7">
        <f>IF(ISBLANK(card_database!$F$7),-1,MATCH(card_database!$F$7,タイプ詳細, 0) - 1)</f>
        <v>2</v>
      </c>
      <c r="G7" s="20">
        <f>IF(ISBLANK(card_database!$G$7),-1,card_database!$G$7)</f>
        <v>-1</v>
      </c>
      <c r="H7" s="20">
        <f>IF(ISBLANK(card_database!$H$7),-1,card_database!$H$7)</f>
        <v>-1</v>
      </c>
      <c r="I7" s="20">
        <f>IF(ISBLANK(card_database!$I$7),-1,MATCH(card_database!$I$7,属性, 0) - 1)</f>
        <v>-1</v>
      </c>
      <c r="J7" s="20">
        <f>IF(ISBLANK(card_database!$J$7),-1,MATCH(card_database!$J$7,種族, 0) - 1)</f>
        <v>-1</v>
      </c>
      <c r="K7" s="20">
        <f>IF(ISBLANK(card_database!$K$7),-1,card_database!$K$7)</f>
        <v>-1</v>
      </c>
      <c r="L7" s="20">
        <f>IF(ISBLANK(card_database!$L$7),-1,card_database!$L$7)</f>
        <v>-1</v>
      </c>
      <c r="M7" s="20">
        <f>IF(ISBLANK(card_database!$M$7),-1,card_database!$M$7)</f>
        <v>-1</v>
      </c>
      <c r="N7" s="20">
        <f>IF(ISBLANK(card_database!$N$7),-1,card_database!$N$7)</f>
        <v>-1</v>
      </c>
      <c r="O7" s="20">
        <f>IF(ISBLANK(card_database!$O$7),-1,card_database!$O$7)</f>
        <v>-1</v>
      </c>
      <c r="P7" s="20">
        <f>IF(ISBLANK(card_database!$P$7),-1,card_database!$P$7)</f>
        <v>-1</v>
      </c>
      <c r="Q7" t="s">
        <v>184</v>
      </c>
      <c r="R7" s="20">
        <v>-1</v>
      </c>
      <c r="S7" s="20">
        <v>-1</v>
      </c>
      <c r="T7" t="s">
        <v>187</v>
      </c>
      <c r="U7" s="20">
        <v>-1</v>
      </c>
      <c r="V7" s="20">
        <v>-1</v>
      </c>
      <c r="X7" s="20">
        <v>-1</v>
      </c>
      <c r="Y7" s="20">
        <v>-1</v>
      </c>
      <c r="AA7" s="20">
        <v>-1</v>
      </c>
      <c r="AB7" s="20">
        <v>-1</v>
      </c>
      <c r="AE7" s="20">
        <v>-1</v>
      </c>
      <c r="AG7" s="20">
        <v>-1</v>
      </c>
      <c r="AJ7" s="20">
        <v>-1</v>
      </c>
      <c r="AL7" s="20">
        <v>-1</v>
      </c>
      <c r="AN7" s="20">
        <v>-1</v>
      </c>
      <c r="AO7" s="20">
        <v>-1</v>
      </c>
      <c r="AQ7" s="20">
        <v>-1</v>
      </c>
      <c r="AR7" s="20">
        <v>-1</v>
      </c>
      <c r="AT7" s="20">
        <v>-1</v>
      </c>
      <c r="AU7" s="20">
        <v>-1</v>
      </c>
      <c r="AW7" s="20">
        <v>-1</v>
      </c>
      <c r="AX7" s="20">
        <v>-1</v>
      </c>
      <c r="AZ7" s="20">
        <v>-1</v>
      </c>
      <c r="BA7" s="20">
        <v>-1</v>
      </c>
      <c r="BC7" s="20">
        <v>-1</v>
      </c>
      <c r="BD7" s="20">
        <v>-1</v>
      </c>
    </row>
    <row r="8" spans="1:56" x14ac:dyDescent="0.55000000000000004">
      <c r="A8">
        <f>IF(ISBLANK(card_database!$A$8),-1,card_database!$A$8)</f>
        <v>3</v>
      </c>
      <c r="B8" s="5" t="str">
        <f>IF(ISBLANK(card_database!$B$8),-1,card_database!$B$8)</f>
        <v>(青眼の白龍)[ブルーアイズホワイトドラゴン]</v>
      </c>
      <c r="C8" t="str">
        <f>IF(ISBLANK(card_database!$C$8),-1,card_database!$C$8)</f>
        <v>一つ目の巨人。太い腕で殴りかかってくる。要注意。</v>
      </c>
      <c r="D8">
        <f>IF(ISBLANK(card_database!$D$8),-1,card_database!$D$8)</f>
        <v>3</v>
      </c>
      <c r="E8">
        <f>IF(ISBLANK(card_database!$E$8),-1,MATCH(card_database!$E$8,タイプ, 0) - 1)</f>
        <v>0</v>
      </c>
      <c r="F8">
        <f>IF(ISBLANK(card_database!$F$8),-1,MATCH(card_database!$F$8,タイプ詳細, 0) - 1)</f>
        <v>0</v>
      </c>
      <c r="G8" s="20">
        <f>IF(ISBLANK(card_database!$G$8),-1,card_database!$G$8)</f>
        <v>3000</v>
      </c>
      <c r="H8" s="20">
        <f>IF(ISBLANK(card_database!$H$8),-1,card_database!$H$8)</f>
        <v>2500</v>
      </c>
      <c r="I8" s="20">
        <f>IF(ISBLANK(card_database!$I$8),-1,MATCH(card_database!$I$8,属性, 0) - 1)</f>
        <v>-1</v>
      </c>
      <c r="J8" s="20">
        <f>IF(ISBLANK(card_database!$J$8),-1,MATCH(card_database!$J$8,種族, 0) - 1)</f>
        <v>1</v>
      </c>
      <c r="K8" s="20">
        <f>IF(ISBLANK(card_database!$K$8),-1,card_database!$K$8)</f>
        <v>8</v>
      </c>
      <c r="L8" s="20">
        <f>IF(ISBLANK(card_database!$L$8),-1,card_database!$L$8)</f>
        <v>-1</v>
      </c>
      <c r="M8" s="20">
        <f>IF(ISBLANK(card_database!$M$8),-1,card_database!$M$8)</f>
        <v>-1</v>
      </c>
      <c r="N8" s="20">
        <f>IF(ISBLANK(card_database!$N$8),-1,card_database!$N$8)</f>
        <v>-1</v>
      </c>
      <c r="O8" s="20">
        <f>IF(ISBLANK(card_database!$O$8),-1,card_database!$O$8)</f>
        <v>-1</v>
      </c>
      <c r="P8" s="20">
        <f>IF(ISBLANK(card_database!$P$8),-1,card_database!$P$8)</f>
        <v>-1</v>
      </c>
      <c r="R8" s="20">
        <v>-1</v>
      </c>
      <c r="S8" s="20">
        <v>-1</v>
      </c>
      <c r="U8" s="20">
        <v>-1</v>
      </c>
      <c r="V8" s="20">
        <v>-1</v>
      </c>
      <c r="X8" s="20">
        <v>-1</v>
      </c>
      <c r="Y8" s="20">
        <v>-1</v>
      </c>
      <c r="AA8" s="20">
        <v>-1</v>
      </c>
      <c r="AB8" s="20">
        <v>-1</v>
      </c>
      <c r="AE8" s="20">
        <v>-1</v>
      </c>
      <c r="AG8" s="20">
        <v>-1</v>
      </c>
      <c r="AJ8" s="20">
        <v>-1</v>
      </c>
      <c r="AL8" s="20">
        <v>-1</v>
      </c>
      <c r="AN8" s="20">
        <v>-1</v>
      </c>
      <c r="AO8" s="20">
        <v>-1</v>
      </c>
      <c r="AQ8" s="20">
        <v>-1</v>
      </c>
      <c r="AR8" s="20">
        <v>-1</v>
      </c>
      <c r="AT8" s="20">
        <v>-1</v>
      </c>
      <c r="AU8" s="20">
        <v>-1</v>
      </c>
      <c r="AW8" s="20">
        <v>-1</v>
      </c>
      <c r="AX8" s="20">
        <v>-1</v>
      </c>
      <c r="AZ8" s="20">
        <v>-1</v>
      </c>
      <c r="BA8" s="20">
        <v>-1</v>
      </c>
      <c r="BC8" s="20">
        <v>-1</v>
      </c>
      <c r="BD8" s="20">
        <v>-1</v>
      </c>
    </row>
    <row r="9" spans="1:56" x14ac:dyDescent="0.55000000000000004">
      <c r="A9">
        <f>IF(ISBLANK(card_database!$A$9),-1,card_database!$A$9)</f>
        <v>4</v>
      </c>
      <c r="B9" t="str">
        <f>IF(ISBLANK(card_database!$B$9),-1,card_database!$B$9)</f>
        <v>落とし穴</v>
      </c>
      <c r="C9">
        <f>IF(ISBLANK(card_database!$C$9),-1,card_database!$C$9)</f>
        <v>-1</v>
      </c>
      <c r="D9">
        <f>IF(ISBLANK(card_database!$D$9),-1,card_database!$D$9)</f>
        <v>4</v>
      </c>
      <c r="E9">
        <f>IF(ISBLANK(card_database!$E$9),-1,MATCH(card_database!$E$9,タイプ, 0) - 1)</f>
        <v>1</v>
      </c>
      <c r="F9">
        <f>IF(ISBLANK(card_database!$F$9),-1,MATCH(card_database!$F$9,タイプ詳細, 0) - 1)</f>
        <v>8</v>
      </c>
      <c r="G9" s="20">
        <f>IF(ISBLANK(card_database!$G$9),-1,card_database!$G$9)</f>
        <v>-1</v>
      </c>
      <c r="H9" s="20">
        <f>IF(ISBLANK(card_database!$H$9),-1,card_database!$H$9)</f>
        <v>-1</v>
      </c>
      <c r="I9" s="20">
        <f>IF(ISBLANK(card_database!$I$9),-1,MATCH(card_database!$I$9,属性, 0) - 1)</f>
        <v>-1</v>
      </c>
      <c r="J9" s="20">
        <f>IF(ISBLANK(card_database!$J$9),-1,MATCH(card_database!$J$9,種族, 0) - 1)</f>
        <v>-1</v>
      </c>
      <c r="K9" s="20">
        <f>IF(ISBLANK(card_database!$K$9),-1,card_database!$K$9)</f>
        <v>-1</v>
      </c>
      <c r="L9" s="20">
        <f>IF(ISBLANK(card_database!$L$9),-1,card_database!$L$9)</f>
        <v>-1</v>
      </c>
      <c r="M9" s="20">
        <f>IF(ISBLANK(card_database!$M$9),-1,card_database!$M$9)</f>
        <v>-1</v>
      </c>
      <c r="N9" s="20">
        <f>IF(ISBLANK(card_database!$N$9),-1,card_database!$N$9)</f>
        <v>-1</v>
      </c>
      <c r="O9" s="20">
        <f>IF(ISBLANK(card_database!$O$9),-1,card_database!$O$9)</f>
        <v>-1</v>
      </c>
      <c r="P9" s="20">
        <f>IF(ISBLANK(card_database!$P$9),-1,card_database!$P$9)</f>
        <v>-1</v>
      </c>
      <c r="R9" s="20">
        <v>-1</v>
      </c>
      <c r="S9" s="20">
        <v>-1</v>
      </c>
      <c r="U9" s="20">
        <v>-1</v>
      </c>
      <c r="V9" s="20">
        <v>-1</v>
      </c>
      <c r="X9" s="20">
        <v>-1</v>
      </c>
      <c r="Y9" s="20">
        <v>-1</v>
      </c>
      <c r="AA9" s="20">
        <v>-1</v>
      </c>
      <c r="AB9" s="20">
        <v>-1</v>
      </c>
      <c r="AE9" s="20">
        <v>-1</v>
      </c>
      <c r="AG9" s="20">
        <v>-1</v>
      </c>
      <c r="AJ9" s="20">
        <v>-1</v>
      </c>
      <c r="AL9" s="20">
        <v>-1</v>
      </c>
      <c r="AN9" s="20">
        <v>-1</v>
      </c>
      <c r="AO9" s="20">
        <v>-1</v>
      </c>
      <c r="AQ9" s="20">
        <v>-1</v>
      </c>
      <c r="AR9" s="20">
        <v>-1</v>
      </c>
      <c r="AT9" s="20">
        <v>-1</v>
      </c>
      <c r="AU9" s="20">
        <v>-1</v>
      </c>
      <c r="AW9" s="20">
        <v>-1</v>
      </c>
      <c r="AX9" s="20">
        <v>-1</v>
      </c>
      <c r="AZ9" s="20">
        <v>-1</v>
      </c>
      <c r="BA9" s="20">
        <v>-1</v>
      </c>
      <c r="BC9" s="20">
        <v>-1</v>
      </c>
      <c r="BD9" s="20">
        <v>-1</v>
      </c>
    </row>
    <row r="17" spans="2:2" x14ac:dyDescent="0.55000000000000004">
      <c r="B17" s="5"/>
    </row>
    <row r="18" spans="2:2" x14ac:dyDescent="0.55000000000000004">
      <c r="B18" s="5"/>
    </row>
  </sheetData>
  <mergeCells count="12">
    <mergeCell ref="AS3:AU3"/>
    <mergeCell ref="AV3:AX3"/>
    <mergeCell ref="AY3:BA3"/>
    <mergeCell ref="BB3:BD3"/>
    <mergeCell ref="W3:Y3"/>
    <mergeCell ref="Z3:AB3"/>
    <mergeCell ref="AC3:AG3"/>
    <mergeCell ref="AH3:AL3"/>
    <mergeCell ref="AM3:AO3"/>
    <mergeCell ref="AP3:AR3"/>
    <mergeCell ref="Q3:S3"/>
    <mergeCell ref="T3:V3"/>
  </mergeCells>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7FA9E-B301-4444-BE88-31C116480568}">
  <sheetPr codeName="Sheet2"/>
  <dimension ref="A1:J32"/>
  <sheetViews>
    <sheetView workbookViewId="0"/>
  </sheetViews>
  <sheetFormatPr defaultRowHeight="18" x14ac:dyDescent="0.55000000000000004"/>
  <cols>
    <col min="1" max="1" width="16.25" bestFit="1" customWidth="1"/>
    <col min="2" max="3" width="18.1640625" bestFit="1" customWidth="1"/>
    <col min="4" max="4" width="16.25" bestFit="1" customWidth="1"/>
    <col min="5" max="5" width="26" bestFit="1" customWidth="1"/>
    <col min="6" max="6" width="38.83203125" bestFit="1" customWidth="1"/>
    <col min="7" max="7" width="18.1640625" bestFit="1" customWidth="1"/>
    <col min="8" max="8" width="16.25" bestFit="1" customWidth="1"/>
    <col min="9" max="9" width="26" bestFit="1" customWidth="1"/>
    <col min="10" max="10" width="38.83203125" bestFit="1" customWidth="1"/>
  </cols>
  <sheetData>
    <row r="1" spans="1:10" x14ac:dyDescent="0.55000000000000004">
      <c r="A1" t="s">
        <v>82</v>
      </c>
      <c r="C1" t="s">
        <v>99</v>
      </c>
      <c r="E1" t="s">
        <v>100</v>
      </c>
      <c r="G1" t="s">
        <v>96</v>
      </c>
      <c r="I1" t="s">
        <v>97</v>
      </c>
    </row>
    <row r="2" spans="1:10" s="4" customFormat="1" x14ac:dyDescent="0.55000000000000004">
      <c r="A2" s="4" t="s">
        <v>83</v>
      </c>
      <c r="C2" s="4" t="s">
        <v>103</v>
      </c>
      <c r="E2" s="4" t="s">
        <v>103</v>
      </c>
      <c r="G2" s="4" t="s">
        <v>83</v>
      </c>
      <c r="I2" s="4" t="s">
        <v>83</v>
      </c>
    </row>
    <row r="3" spans="1:10" x14ac:dyDescent="0.55000000000000004">
      <c r="A3" t="s">
        <v>84</v>
      </c>
      <c r="B3" t="s">
        <v>94</v>
      </c>
      <c r="C3" t="s">
        <v>191</v>
      </c>
      <c r="D3" t="s">
        <v>19</v>
      </c>
      <c r="E3" t="s">
        <v>203</v>
      </c>
      <c r="F3" t="s">
        <v>223</v>
      </c>
      <c r="G3" t="s">
        <v>104</v>
      </c>
      <c r="H3" t="s">
        <v>114</v>
      </c>
      <c r="I3" t="s">
        <v>121</v>
      </c>
      <c r="J3" t="s">
        <v>151</v>
      </c>
    </row>
    <row r="4" spans="1:10" x14ac:dyDescent="0.55000000000000004">
      <c r="A4" t="s">
        <v>85</v>
      </c>
      <c r="B4" t="s">
        <v>95</v>
      </c>
      <c r="C4" t="s">
        <v>192</v>
      </c>
      <c r="D4" t="s">
        <v>201</v>
      </c>
      <c r="E4" t="s">
        <v>204</v>
      </c>
      <c r="F4" t="s">
        <v>224</v>
      </c>
      <c r="G4" t="s">
        <v>105</v>
      </c>
      <c r="H4" t="s">
        <v>115</v>
      </c>
      <c r="I4" t="s">
        <v>122</v>
      </c>
      <c r="J4" t="s">
        <v>152</v>
      </c>
    </row>
    <row r="5" spans="1:10" x14ac:dyDescent="0.55000000000000004">
      <c r="A5" t="s">
        <v>86</v>
      </c>
      <c r="B5" t="s">
        <v>96</v>
      </c>
      <c r="C5" t="s">
        <v>193</v>
      </c>
      <c r="D5" t="s">
        <v>202</v>
      </c>
      <c r="E5" t="s">
        <v>205</v>
      </c>
      <c r="F5" t="s">
        <v>225</v>
      </c>
      <c r="G5" t="s">
        <v>106</v>
      </c>
      <c r="H5" t="s">
        <v>116</v>
      </c>
      <c r="I5" t="s">
        <v>123</v>
      </c>
      <c r="J5" t="s">
        <v>153</v>
      </c>
    </row>
    <row r="6" spans="1:10" x14ac:dyDescent="0.55000000000000004">
      <c r="A6" t="s">
        <v>87</v>
      </c>
      <c r="B6" t="s">
        <v>97</v>
      </c>
      <c r="C6" t="s">
        <v>194</v>
      </c>
      <c r="E6" t="s">
        <v>206</v>
      </c>
      <c r="F6" t="s">
        <v>226</v>
      </c>
      <c r="G6" t="s">
        <v>107</v>
      </c>
      <c r="H6" t="s">
        <v>117</v>
      </c>
      <c r="I6" t="s">
        <v>124</v>
      </c>
      <c r="J6" t="s">
        <v>154</v>
      </c>
    </row>
    <row r="7" spans="1:10" x14ac:dyDescent="0.55000000000000004">
      <c r="A7" t="s">
        <v>88</v>
      </c>
      <c r="B7" t="s">
        <v>98</v>
      </c>
      <c r="C7" t="s">
        <v>195</v>
      </c>
      <c r="E7" t="s">
        <v>207</v>
      </c>
      <c r="F7" t="s">
        <v>227</v>
      </c>
      <c r="G7" t="s">
        <v>108</v>
      </c>
      <c r="H7" t="s">
        <v>118</v>
      </c>
      <c r="I7" t="s">
        <v>125</v>
      </c>
      <c r="J7" t="s">
        <v>155</v>
      </c>
    </row>
    <row r="8" spans="1:10" x14ac:dyDescent="0.55000000000000004">
      <c r="A8" t="s">
        <v>89</v>
      </c>
      <c r="C8" t="s">
        <v>196</v>
      </c>
      <c r="E8" t="s">
        <v>208</v>
      </c>
      <c r="F8" t="s">
        <v>228</v>
      </c>
      <c r="G8" t="s">
        <v>109</v>
      </c>
      <c r="H8" t="s">
        <v>119</v>
      </c>
      <c r="I8" t="s">
        <v>126</v>
      </c>
      <c r="J8" t="s">
        <v>156</v>
      </c>
    </row>
    <row r="9" spans="1:10" x14ac:dyDescent="0.55000000000000004">
      <c r="A9" t="s">
        <v>90</v>
      </c>
      <c r="C9" t="s">
        <v>197</v>
      </c>
      <c r="E9" t="s">
        <v>209</v>
      </c>
      <c r="F9" t="s">
        <v>229</v>
      </c>
      <c r="G9" t="s">
        <v>110</v>
      </c>
      <c r="H9" t="s">
        <v>120</v>
      </c>
      <c r="I9" t="s">
        <v>127</v>
      </c>
      <c r="J9" t="s">
        <v>157</v>
      </c>
    </row>
    <row r="10" spans="1:10" x14ac:dyDescent="0.55000000000000004">
      <c r="A10" t="s">
        <v>91</v>
      </c>
      <c r="C10" t="s">
        <v>198</v>
      </c>
      <c r="E10" t="s">
        <v>210</v>
      </c>
      <c r="F10" t="s">
        <v>230</v>
      </c>
      <c r="G10" t="s">
        <v>111</v>
      </c>
      <c r="I10" t="s">
        <v>128</v>
      </c>
      <c r="J10" t="s">
        <v>158</v>
      </c>
    </row>
    <row r="11" spans="1:10" x14ac:dyDescent="0.55000000000000004">
      <c r="A11" t="s">
        <v>92</v>
      </c>
      <c r="C11" t="s">
        <v>199</v>
      </c>
      <c r="E11" t="s">
        <v>211</v>
      </c>
      <c r="F11" t="s">
        <v>231</v>
      </c>
      <c r="G11" t="s">
        <v>112</v>
      </c>
      <c r="I11" t="s">
        <v>129</v>
      </c>
      <c r="J11" t="s">
        <v>159</v>
      </c>
    </row>
    <row r="12" spans="1:10" x14ac:dyDescent="0.55000000000000004">
      <c r="A12" t="s">
        <v>93</v>
      </c>
      <c r="C12" t="s">
        <v>200</v>
      </c>
      <c r="E12" t="s">
        <v>212</v>
      </c>
      <c r="F12" t="s">
        <v>232</v>
      </c>
      <c r="G12" t="s">
        <v>113</v>
      </c>
      <c r="I12" t="s">
        <v>130</v>
      </c>
      <c r="J12" t="s">
        <v>160</v>
      </c>
    </row>
    <row r="13" spans="1:10" x14ac:dyDescent="0.55000000000000004">
      <c r="E13" t="s">
        <v>213</v>
      </c>
      <c r="F13" t="s">
        <v>233</v>
      </c>
      <c r="G13" t="s">
        <v>235</v>
      </c>
      <c r="I13" t="s">
        <v>131</v>
      </c>
      <c r="J13" t="s">
        <v>161</v>
      </c>
    </row>
    <row r="14" spans="1:10" x14ac:dyDescent="0.55000000000000004">
      <c r="E14" t="s">
        <v>214</v>
      </c>
      <c r="F14" t="s">
        <v>234</v>
      </c>
      <c r="G14" t="s">
        <v>236</v>
      </c>
      <c r="I14" t="s">
        <v>132</v>
      </c>
      <c r="J14" t="s">
        <v>162</v>
      </c>
    </row>
    <row r="15" spans="1:10" x14ac:dyDescent="0.55000000000000004">
      <c r="E15" t="s">
        <v>215</v>
      </c>
      <c r="G15" t="s">
        <v>237</v>
      </c>
      <c r="I15" t="s">
        <v>133</v>
      </c>
      <c r="J15" t="s">
        <v>163</v>
      </c>
    </row>
    <row r="16" spans="1:10" x14ac:dyDescent="0.55000000000000004">
      <c r="E16" t="s">
        <v>216</v>
      </c>
      <c r="G16" t="s">
        <v>238</v>
      </c>
      <c r="I16" t="s">
        <v>134</v>
      </c>
      <c r="J16" t="s">
        <v>164</v>
      </c>
    </row>
    <row r="17" spans="5:10" x14ac:dyDescent="0.55000000000000004">
      <c r="E17" t="s">
        <v>217</v>
      </c>
      <c r="G17" t="s">
        <v>239</v>
      </c>
      <c r="I17" t="s">
        <v>135</v>
      </c>
      <c r="J17" t="s">
        <v>165</v>
      </c>
    </row>
    <row r="18" spans="5:10" x14ac:dyDescent="0.55000000000000004">
      <c r="E18" t="s">
        <v>218</v>
      </c>
      <c r="G18" t="s">
        <v>240</v>
      </c>
      <c r="I18" t="s">
        <v>136</v>
      </c>
      <c r="J18" t="s">
        <v>166</v>
      </c>
    </row>
    <row r="19" spans="5:10" x14ac:dyDescent="0.55000000000000004">
      <c r="E19" t="s">
        <v>219</v>
      </c>
      <c r="G19" t="s">
        <v>241</v>
      </c>
      <c r="I19" t="s">
        <v>137</v>
      </c>
      <c r="J19" t="s">
        <v>167</v>
      </c>
    </row>
    <row r="20" spans="5:10" x14ac:dyDescent="0.55000000000000004">
      <c r="E20" t="s">
        <v>220</v>
      </c>
      <c r="G20" t="s">
        <v>242</v>
      </c>
      <c r="I20" t="s">
        <v>138</v>
      </c>
      <c r="J20" t="s">
        <v>168</v>
      </c>
    </row>
    <row r="21" spans="5:10" x14ac:dyDescent="0.55000000000000004">
      <c r="E21" t="s">
        <v>221</v>
      </c>
      <c r="G21" t="s">
        <v>243</v>
      </c>
      <c r="I21" t="s">
        <v>139</v>
      </c>
      <c r="J21" t="s">
        <v>169</v>
      </c>
    </row>
    <row r="22" spans="5:10" x14ac:dyDescent="0.55000000000000004">
      <c r="E22" t="s">
        <v>222</v>
      </c>
      <c r="G22" t="s">
        <v>244</v>
      </c>
      <c r="I22" t="s">
        <v>140</v>
      </c>
      <c r="J22" t="s">
        <v>170</v>
      </c>
    </row>
    <row r="23" spans="5:10" x14ac:dyDescent="0.55000000000000004">
      <c r="I23" t="s">
        <v>141</v>
      </c>
      <c r="J23" t="s">
        <v>171</v>
      </c>
    </row>
    <row r="24" spans="5:10" x14ac:dyDescent="0.55000000000000004">
      <c r="I24" t="s">
        <v>142</v>
      </c>
      <c r="J24" t="s">
        <v>172</v>
      </c>
    </row>
    <row r="25" spans="5:10" x14ac:dyDescent="0.55000000000000004">
      <c r="I25" t="s">
        <v>143</v>
      </c>
      <c r="J25" t="s">
        <v>173</v>
      </c>
    </row>
    <row r="26" spans="5:10" x14ac:dyDescent="0.55000000000000004">
      <c r="I26" t="s">
        <v>144</v>
      </c>
      <c r="J26" t="s">
        <v>174</v>
      </c>
    </row>
    <row r="27" spans="5:10" x14ac:dyDescent="0.55000000000000004">
      <c r="I27" t="s">
        <v>145</v>
      </c>
      <c r="J27" t="s">
        <v>175</v>
      </c>
    </row>
    <row r="28" spans="5:10" x14ac:dyDescent="0.55000000000000004">
      <c r="I28" t="s">
        <v>146</v>
      </c>
      <c r="J28" t="s">
        <v>176</v>
      </c>
    </row>
    <row r="29" spans="5:10" x14ac:dyDescent="0.55000000000000004">
      <c r="I29" t="s">
        <v>147</v>
      </c>
    </row>
    <row r="30" spans="5:10" x14ac:dyDescent="0.55000000000000004">
      <c r="I30" t="s">
        <v>148</v>
      </c>
    </row>
    <row r="31" spans="5:10" x14ac:dyDescent="0.55000000000000004">
      <c r="I31" t="s">
        <v>149</v>
      </c>
    </row>
    <row r="32" spans="5:10" x14ac:dyDescent="0.55000000000000004">
      <c r="I32" t="s">
        <v>150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5</vt:i4>
      </vt:variant>
    </vt:vector>
  </HeadingPairs>
  <TitlesOfParts>
    <vt:vector size="8" baseType="lpstr">
      <vt:lpstr>card_database</vt:lpstr>
      <vt:lpstr>output</vt:lpstr>
      <vt:lpstr>ref</vt:lpstr>
      <vt:lpstr>タイプ</vt:lpstr>
      <vt:lpstr>タイプ詳細</vt:lpstr>
      <vt:lpstr>種族</vt:lpstr>
      <vt:lpstr>属性</vt:lpstr>
      <vt:lpstr>汎用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sorerusushi</dc:creator>
  <cp:lastModifiedBy>すし それる</cp:lastModifiedBy>
  <dcterms:created xsi:type="dcterms:W3CDTF">2022-04-10T16:48:27Z</dcterms:created>
  <dcterms:modified xsi:type="dcterms:W3CDTF">2026-02-06T13:12:33Z</dcterms:modified>
</cp:coreProperties>
</file>